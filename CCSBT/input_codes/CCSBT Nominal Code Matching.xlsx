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AroundUs_Projects\Layer 3\2025\CCSBT\input_codes\"/>
    </mc:Choice>
  </mc:AlternateContent>
  <xr:revisionPtr revIDLastSave="0" documentId="13_ncr:1_{23BAF849-E79F-4157-8DA7-BD26E906719C}" xr6:coauthVersionLast="47" xr6:coauthVersionMax="47" xr10:uidLastSave="{00000000-0000-0000-0000-000000000000}"/>
  <bookViews>
    <workbookView xWindow="28680" yWindow="-120" windowWidth="24240" windowHeight="13020" activeTab="2" xr2:uid="{F6D5E0E1-59F9-4CCA-B84F-C66DE6783958}"/>
  </bookViews>
  <sheets>
    <sheet name="Nominal Country Codes" sheetId="3" r:id="rId1"/>
    <sheet name="Nominal Ocean Codes" sheetId="5" r:id="rId2"/>
    <sheet name="Gear Cod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2" i="6"/>
  <c r="J6" i="3"/>
  <c r="J2" i="3"/>
  <c r="J3" i="3"/>
  <c r="J4" i="3"/>
  <c r="J5" i="3"/>
  <c r="J7" i="3"/>
  <c r="J8" i="3"/>
  <c r="J9" i="3"/>
  <c r="J10" i="3"/>
  <c r="J11" i="3"/>
  <c r="J1" i="3"/>
</calcChain>
</file>

<file path=xl/sharedStrings.xml><?xml version="1.0" encoding="utf-8"?>
<sst xmlns="http://schemas.openxmlformats.org/spreadsheetml/2006/main" count="49" uniqueCount="30">
  <si>
    <t>CountryName</t>
  </si>
  <si>
    <t>FishingEntityID</t>
  </si>
  <si>
    <t>CountryGroupID</t>
  </si>
  <si>
    <t>AU</t>
  </si>
  <si>
    <t>ID</t>
  </si>
  <si>
    <t>PH</t>
  </si>
  <si>
    <t>ES</t>
  </si>
  <si>
    <t>TW</t>
  </si>
  <si>
    <t>JP</t>
  </si>
  <si>
    <t>NZ</t>
  </si>
  <si>
    <t>KR</t>
  </si>
  <si>
    <t>ZA</t>
  </si>
  <si>
    <t>??</t>
  </si>
  <si>
    <t>RC</t>
  </si>
  <si>
    <t>OceanName</t>
  </si>
  <si>
    <t>OceanID</t>
  </si>
  <si>
    <t>AO</t>
  </si>
  <si>
    <t>IO</t>
  </si>
  <si>
    <t>PO</t>
  </si>
  <si>
    <t>GearName</t>
  </si>
  <si>
    <t>SURF</t>
  </si>
  <si>
    <t>LL</t>
  </si>
  <si>
    <t>PS</t>
  </si>
  <si>
    <t>BB</t>
  </si>
  <si>
    <t>HAND</t>
  </si>
  <si>
    <t>GILL</t>
  </si>
  <si>
    <t>TROL</t>
  </si>
  <si>
    <t>UNCL</t>
  </si>
  <si>
    <t>Layer3GearID</t>
  </si>
  <si>
    <t>GearGroupID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</si>
</sst>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7F6-C350-4F41-881A-DA62E3668FDC}">
  <dimension ref="A1:K122"/>
  <sheetViews>
    <sheetView workbookViewId="0">
      <selection activeCell="H14" sqref="H14"/>
    </sheetView>
  </sheetViews>
  <sheetFormatPr defaultRowHeight="15" x14ac:dyDescent="0.25"/>
  <cols>
    <col min="1" max="1" width="9.28515625" customWidth="1"/>
    <col min="2" max="2" width="10.5703125" customWidth="1"/>
    <col min="3" max="3" width="15.42578125" bestFit="1" customWidth="1"/>
    <col min="8" max="8" width="2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I1" t="s">
        <v>3</v>
      </c>
      <c r="J1" t="str">
        <f>VLOOKUP(I1,$A$1:$C$12,1,FALSE)</f>
        <v>AU</v>
      </c>
    </row>
    <row r="2" spans="1:10" x14ac:dyDescent="0.25">
      <c r="A2" t="s">
        <v>3</v>
      </c>
      <c r="B2">
        <v>7</v>
      </c>
      <c r="C2">
        <v>1</v>
      </c>
      <c r="I2" t="s">
        <v>8</v>
      </c>
      <c r="J2" t="str">
        <f t="shared" ref="J2:J11" si="0">VLOOKUP(I2,$A$1:$C$12,1,FALSE)</f>
        <v>JP</v>
      </c>
    </row>
    <row r="3" spans="1:10" x14ac:dyDescent="0.25">
      <c r="A3" t="s">
        <v>4</v>
      </c>
      <c r="B3">
        <v>83</v>
      </c>
      <c r="C3">
        <v>2</v>
      </c>
      <c r="I3" t="s">
        <v>11</v>
      </c>
      <c r="J3" t="str">
        <f t="shared" si="0"/>
        <v>ZA</v>
      </c>
    </row>
    <row r="4" spans="1:10" x14ac:dyDescent="0.25">
      <c r="A4" t="s">
        <v>5</v>
      </c>
      <c r="B4">
        <v>138</v>
      </c>
      <c r="C4">
        <v>2</v>
      </c>
      <c r="I4" t="s">
        <v>7</v>
      </c>
      <c r="J4" t="str">
        <f t="shared" si="0"/>
        <v>TW</v>
      </c>
    </row>
    <row r="5" spans="1:10" x14ac:dyDescent="0.25">
      <c r="A5" t="s">
        <v>6</v>
      </c>
      <c r="B5">
        <v>165</v>
      </c>
      <c r="C5">
        <v>3</v>
      </c>
      <c r="I5" t="s">
        <v>4</v>
      </c>
      <c r="J5" t="str">
        <f t="shared" si="0"/>
        <v>ID</v>
      </c>
    </row>
    <row r="6" spans="1:10" x14ac:dyDescent="0.25">
      <c r="A6" t="s">
        <v>7</v>
      </c>
      <c r="B6">
        <v>32</v>
      </c>
      <c r="C6">
        <v>4</v>
      </c>
      <c r="I6" t="s">
        <v>12</v>
      </c>
      <c r="J6" t="str">
        <f>VLOOKUP(I6,$A$1:$C$12,1,FALSE)</f>
        <v>AU</v>
      </c>
    </row>
    <row r="7" spans="1:10" x14ac:dyDescent="0.25">
      <c r="A7" t="s">
        <v>8</v>
      </c>
      <c r="B7">
        <v>91</v>
      </c>
      <c r="C7">
        <v>4</v>
      </c>
      <c r="I7" t="s">
        <v>9</v>
      </c>
      <c r="J7" t="str">
        <f t="shared" si="0"/>
        <v>NZ</v>
      </c>
    </row>
    <row r="8" spans="1:10" x14ac:dyDescent="0.25">
      <c r="A8" t="s">
        <v>9</v>
      </c>
      <c r="B8">
        <v>123</v>
      </c>
      <c r="C8">
        <v>5</v>
      </c>
      <c r="I8" t="s">
        <v>10</v>
      </c>
      <c r="J8" t="str">
        <f t="shared" si="0"/>
        <v>KR</v>
      </c>
    </row>
    <row r="9" spans="1:10" x14ac:dyDescent="0.25">
      <c r="A9" t="s">
        <v>10</v>
      </c>
      <c r="B9">
        <v>95</v>
      </c>
      <c r="C9">
        <v>4</v>
      </c>
      <c r="I9" t="s">
        <v>13</v>
      </c>
      <c r="J9" t="str">
        <f t="shared" si="0"/>
        <v>RC</v>
      </c>
    </row>
    <row r="10" spans="1:10" x14ac:dyDescent="0.25">
      <c r="A10" t="s">
        <v>11</v>
      </c>
      <c r="B10">
        <v>164</v>
      </c>
      <c r="C10">
        <v>6</v>
      </c>
      <c r="I10" t="s">
        <v>5</v>
      </c>
      <c r="J10" t="str">
        <f t="shared" si="0"/>
        <v>PH</v>
      </c>
    </row>
    <row r="11" spans="1:10" x14ac:dyDescent="0.25">
      <c r="A11" t="s">
        <v>12</v>
      </c>
      <c r="B11">
        <v>1000</v>
      </c>
      <c r="C11">
        <v>1000</v>
      </c>
      <c r="I11" t="s">
        <v>6</v>
      </c>
      <c r="J11" t="str">
        <f t="shared" si="0"/>
        <v>ES</v>
      </c>
    </row>
    <row r="12" spans="1:10" x14ac:dyDescent="0.25">
      <c r="A12" t="s">
        <v>13</v>
      </c>
      <c r="B12">
        <v>2000</v>
      </c>
      <c r="C12">
        <v>2000</v>
      </c>
    </row>
    <row r="122" spans="10:11" x14ac:dyDescent="0.25">
      <c r="J122" s="1"/>
      <c r="K122" s="1"/>
    </row>
  </sheetData>
  <sortState xmlns:xlrd2="http://schemas.microsoft.com/office/spreadsheetml/2017/richdata2" ref="A1:B104806">
    <sortCondition ref="A1:A1048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A17C-F7A1-408A-9C4E-E17680BD3894}">
  <dimension ref="A1:B4"/>
  <sheetViews>
    <sheetView workbookViewId="0">
      <selection activeCell="E28" sqref="E28"/>
    </sheetView>
  </sheetViews>
  <sheetFormatPr defaultRowHeight="15" x14ac:dyDescent="0.25"/>
  <cols>
    <col min="1" max="1" width="14.140625" customWidth="1"/>
    <col min="2" max="2" width="10.710937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>
        <v>1</v>
      </c>
    </row>
    <row r="3" spans="1:2" x14ac:dyDescent="0.25">
      <c r="A3" t="s">
        <v>17</v>
      </c>
      <c r="B3">
        <v>2</v>
      </c>
    </row>
    <row r="4" spans="1:2" x14ac:dyDescent="0.25">
      <c r="A4" t="s">
        <v>18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F77C-8104-42A9-BE03-02708BDEC697}">
  <dimension ref="A1:F9"/>
  <sheetViews>
    <sheetView tabSelected="1" workbookViewId="0">
      <selection activeCell="H6" sqref="H6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2.42578125" bestFit="1" customWidth="1"/>
  </cols>
  <sheetData>
    <row r="1" spans="1:6" x14ac:dyDescent="0.25">
      <c r="A1" t="s">
        <v>19</v>
      </c>
      <c r="B1" t="s">
        <v>28</v>
      </c>
      <c r="C1" t="s">
        <v>29</v>
      </c>
    </row>
    <row r="2" spans="1:6" x14ac:dyDescent="0.25">
      <c r="A2" t="s">
        <v>23</v>
      </c>
      <c r="B2">
        <v>1</v>
      </c>
      <c r="C2">
        <v>31</v>
      </c>
      <c r="E2" t="s">
        <v>20</v>
      </c>
      <c r="F2" t="str">
        <f>VLOOKUP(E2,A:C,1,FALSE)</f>
        <v>SURF</v>
      </c>
    </row>
    <row r="3" spans="1:6" x14ac:dyDescent="0.25">
      <c r="A3" t="s">
        <v>25</v>
      </c>
      <c r="B3">
        <v>10</v>
      </c>
      <c r="C3">
        <v>50</v>
      </c>
      <c r="E3" t="s">
        <v>21</v>
      </c>
      <c r="F3" t="str">
        <f t="shared" ref="F3:F9" si="0">VLOOKUP(E3,A:C,1,FALSE)</f>
        <v>LL</v>
      </c>
    </row>
    <row r="4" spans="1:6" x14ac:dyDescent="0.25">
      <c r="A4" t="s">
        <v>24</v>
      </c>
      <c r="B4">
        <v>16</v>
      </c>
      <c r="C4">
        <v>33</v>
      </c>
      <c r="E4" t="s">
        <v>22</v>
      </c>
      <c r="F4" t="str">
        <f t="shared" si="0"/>
        <v>PS</v>
      </c>
    </row>
    <row r="5" spans="1:6" x14ac:dyDescent="0.25">
      <c r="A5" t="s">
        <v>21</v>
      </c>
      <c r="B5">
        <v>22</v>
      </c>
      <c r="C5">
        <v>32</v>
      </c>
      <c r="E5" t="s">
        <v>23</v>
      </c>
      <c r="F5" t="str">
        <f t="shared" si="0"/>
        <v>BB</v>
      </c>
    </row>
    <row r="6" spans="1:6" x14ac:dyDescent="0.25">
      <c r="A6" t="s">
        <v>22</v>
      </c>
      <c r="B6">
        <v>43</v>
      </c>
      <c r="C6">
        <v>41</v>
      </c>
      <c r="E6" t="s">
        <v>24</v>
      </c>
      <c r="F6" t="str">
        <f t="shared" si="0"/>
        <v>HAND</v>
      </c>
    </row>
    <row r="7" spans="1:6" x14ac:dyDescent="0.25">
      <c r="A7" t="s">
        <v>20</v>
      </c>
      <c r="B7">
        <v>41</v>
      </c>
      <c r="C7">
        <v>69</v>
      </c>
      <c r="E7" t="s">
        <v>25</v>
      </c>
      <c r="F7" t="str">
        <f t="shared" si="0"/>
        <v>GILL</v>
      </c>
    </row>
    <row r="8" spans="1:6" x14ac:dyDescent="0.25">
      <c r="A8" t="s">
        <v>26</v>
      </c>
      <c r="B8">
        <v>67</v>
      </c>
      <c r="C8">
        <v>32</v>
      </c>
      <c r="E8" t="s">
        <v>26</v>
      </c>
      <c r="F8" t="str">
        <f t="shared" si="0"/>
        <v>TROL</v>
      </c>
    </row>
    <row r="9" spans="1:6" x14ac:dyDescent="0.25">
      <c r="A9" t="s">
        <v>27</v>
      </c>
      <c r="B9">
        <v>41</v>
      </c>
      <c r="C9">
        <v>91</v>
      </c>
      <c r="E9" t="s">
        <v>27</v>
      </c>
      <c r="F9" t="str">
        <f t="shared" si="0"/>
        <v>UNCL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Nominal Country Codes</vt:lpstr>
      <vt:lpstr>Nominal Ocean Codes</vt:lpstr>
      <vt:lpstr>Gear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Shelumiel</dc:creator>
  <cp:lastModifiedBy>Ortiz, Shelumiel</cp:lastModifiedBy>
  <dcterms:created xsi:type="dcterms:W3CDTF">2025-10-01T16:28:28Z</dcterms:created>
  <dcterms:modified xsi:type="dcterms:W3CDTF">2025-10-08T20:52:00Z</dcterms:modified>
</cp:coreProperties>
</file>