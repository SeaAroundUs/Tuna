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CCSBT\input_codes\"/>
    </mc:Choice>
  </mc:AlternateContent>
  <xr:revisionPtr revIDLastSave="0" documentId="13_ncr:1_{6428182F-E31B-4960-A416-E56A6F7A7516}" xr6:coauthVersionLast="47" xr6:coauthVersionMax="47" xr10:uidLastSave="{00000000-0000-0000-0000-000000000000}"/>
  <bookViews>
    <workbookView xWindow="6405" yWindow="2355" windowWidth="24210" windowHeight="11190" activeTab="1" xr2:uid="{F6D5E0E1-59F9-4CCA-B84F-C66DE6783958}"/>
  </bookViews>
  <sheets>
    <sheet name="Spatial Ocean Codes" sheetId="3" r:id="rId1"/>
    <sheet name="Gear Cod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2" i="6"/>
</calcChain>
</file>

<file path=xl/sharedStrings.xml><?xml version="1.0" encoding="utf-8"?>
<sst xmlns="http://schemas.openxmlformats.org/spreadsheetml/2006/main" count="27" uniqueCount="16">
  <si>
    <t>OceanName</t>
  </si>
  <si>
    <t>OceanID</t>
  </si>
  <si>
    <t>GearName</t>
  </si>
  <si>
    <t>SURF</t>
  </si>
  <si>
    <t>LL</t>
  </si>
  <si>
    <t>PS</t>
  </si>
  <si>
    <t>BB</t>
  </si>
  <si>
    <t>HAND</t>
  </si>
  <si>
    <t>GILL</t>
  </si>
  <si>
    <t>TROL</t>
  </si>
  <si>
    <t>UNCL</t>
  </si>
  <si>
    <t>Layer3GearID</t>
  </si>
  <si>
    <t>GearGroupID</t>
  </si>
  <si>
    <t>Atlantic</t>
  </si>
  <si>
    <t>Indian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</si>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</sst>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K122"/>
  <sheetViews>
    <sheetView workbookViewId="0">
      <selection activeCell="H13" sqref="H13:H15"/>
    </sheetView>
  </sheetViews>
  <sheetFormatPr defaultRowHeight="15" x14ac:dyDescent="0.25"/>
  <cols>
    <col min="1" max="1" width="11.85546875" bestFit="1" customWidth="1"/>
    <col min="2" max="2" width="10.5703125" customWidth="1"/>
    <col min="3" max="3" width="15.42578125" bestFit="1" customWidth="1"/>
    <col min="8" max="8" width="24.7109375" bestFit="1" customWidth="1"/>
  </cols>
  <sheetData>
    <row r="1" spans="1:6" x14ac:dyDescent="0.25">
      <c r="A1" t="s">
        <v>0</v>
      </c>
      <c r="B1" t="s">
        <v>1</v>
      </c>
      <c r="F1" t="s">
        <v>14</v>
      </c>
    </row>
    <row r="2" spans="1:6" x14ac:dyDescent="0.25">
      <c r="A2" t="s">
        <v>13</v>
      </c>
      <c r="B2">
        <v>1</v>
      </c>
      <c r="F2" t="s">
        <v>13</v>
      </c>
    </row>
    <row r="3" spans="1:6" x14ac:dyDescent="0.25">
      <c r="A3" t="s">
        <v>14</v>
      </c>
      <c r="B3">
        <v>2</v>
      </c>
      <c r="F3" t="s">
        <v>15</v>
      </c>
    </row>
    <row r="4" spans="1:6" x14ac:dyDescent="0.25">
      <c r="A4" t="s">
        <v>15</v>
      </c>
      <c r="B4">
        <v>3</v>
      </c>
    </row>
    <row r="122" spans="10:11" x14ac:dyDescent="0.25">
      <c r="J122" s="1"/>
      <c r="K122" s="1"/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F77C-8104-42A9-BE03-02708BDEC697}">
  <dimension ref="A1:F9"/>
  <sheetViews>
    <sheetView tabSelected="1" workbookViewId="0">
      <selection activeCell="M12" sqref="M12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42578125" bestFit="1" customWidth="1"/>
  </cols>
  <sheetData>
    <row r="1" spans="1:6" x14ac:dyDescent="0.25">
      <c r="A1" t="s">
        <v>2</v>
      </c>
      <c r="B1" t="s">
        <v>11</v>
      </c>
      <c r="C1" t="s">
        <v>12</v>
      </c>
    </row>
    <row r="2" spans="1:6" x14ac:dyDescent="0.25">
      <c r="A2" t="s">
        <v>6</v>
      </c>
      <c r="B2">
        <v>1</v>
      </c>
      <c r="C2">
        <v>31</v>
      </c>
      <c r="E2" t="s">
        <v>3</v>
      </c>
      <c r="F2" t="str">
        <f>VLOOKUP(E2,A:C,1,FALSE)</f>
        <v>SURF</v>
      </c>
    </row>
    <row r="3" spans="1:6" x14ac:dyDescent="0.25">
      <c r="A3" t="s">
        <v>8</v>
      </c>
      <c r="B3">
        <v>10</v>
      </c>
      <c r="C3">
        <v>50</v>
      </c>
      <c r="E3" t="s">
        <v>4</v>
      </c>
      <c r="F3" t="str">
        <f t="shared" ref="F3:F9" si="0">VLOOKUP(E3,A:C,1,FALSE)</f>
        <v>LL</v>
      </c>
    </row>
    <row r="4" spans="1:6" x14ac:dyDescent="0.25">
      <c r="A4" t="s">
        <v>7</v>
      </c>
      <c r="B4">
        <v>16</v>
      </c>
      <c r="C4">
        <v>33</v>
      </c>
      <c r="E4" t="s">
        <v>5</v>
      </c>
      <c r="F4" t="str">
        <f t="shared" si="0"/>
        <v>PS</v>
      </c>
    </row>
    <row r="5" spans="1:6" x14ac:dyDescent="0.25">
      <c r="A5" t="s">
        <v>4</v>
      </c>
      <c r="B5">
        <v>22</v>
      </c>
      <c r="C5">
        <v>32</v>
      </c>
      <c r="E5" t="s">
        <v>6</v>
      </c>
      <c r="F5" t="str">
        <f t="shared" si="0"/>
        <v>BB</v>
      </c>
    </row>
    <row r="6" spans="1:6" x14ac:dyDescent="0.25">
      <c r="A6" t="s">
        <v>5</v>
      </c>
      <c r="B6">
        <v>43</v>
      </c>
      <c r="C6">
        <v>41</v>
      </c>
      <c r="E6" t="s">
        <v>7</v>
      </c>
      <c r="F6" t="str">
        <f t="shared" si="0"/>
        <v>HAND</v>
      </c>
    </row>
    <row r="7" spans="1:6" x14ac:dyDescent="0.25">
      <c r="A7" t="s">
        <v>3</v>
      </c>
      <c r="B7">
        <v>41</v>
      </c>
      <c r="C7">
        <v>69</v>
      </c>
      <c r="E7" t="s">
        <v>8</v>
      </c>
      <c r="F7" t="str">
        <f t="shared" si="0"/>
        <v>GILL</v>
      </c>
    </row>
    <row r="8" spans="1:6" x14ac:dyDescent="0.25">
      <c r="A8" t="s">
        <v>9</v>
      </c>
      <c r="B8">
        <v>67</v>
      </c>
      <c r="C8">
        <v>32</v>
      </c>
      <c r="E8" t="s">
        <v>9</v>
      </c>
      <c r="F8" t="str">
        <f t="shared" si="0"/>
        <v>TROL</v>
      </c>
    </row>
    <row r="9" spans="1:6" x14ac:dyDescent="0.25">
      <c r="A9" t="s">
        <v>10</v>
      </c>
      <c r="B9">
        <v>41</v>
      </c>
      <c r="C9">
        <v>91</v>
      </c>
      <c r="E9" t="s">
        <v>10</v>
      </c>
      <c r="F9" t="str">
        <f t="shared" si="0"/>
        <v>UNCL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 Ocean Codes</vt:lpstr>
      <vt:lpstr>Gear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2025-10-08T20:54:14Z</dcterms:modified>
</cp:coreProperties>
</file>