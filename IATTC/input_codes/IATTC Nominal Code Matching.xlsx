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AroundUs_Projects\Layer 3\2025\IATTC\input_codes\"/>
    </mc:Choice>
  </mc:AlternateContent>
  <xr:revisionPtr revIDLastSave="0" documentId="13_ncr:1_{19D0CDD6-23C6-419E-ACFF-CE83000F223B}" xr6:coauthVersionLast="47" xr6:coauthVersionMax="47" xr10:uidLastSave="{00000000-0000-0000-0000-000000000000}"/>
  <bookViews>
    <workbookView xWindow="30270" yWindow="1800" windowWidth="24660" windowHeight="11190" activeTab="2" xr2:uid="{F6D5E0E1-59F9-4CCA-B84F-C66DE6783958}"/>
  </bookViews>
  <sheets>
    <sheet name="Nominal Country Codes" sheetId="3" r:id="rId1"/>
    <sheet name="Nominal Species Codes" sheetId="5" r:id="rId2"/>
    <sheet name="Gear Cod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/>
  <c r="B7" i="6"/>
  <c r="B8" i="6"/>
  <c r="B9" i="6"/>
  <c r="B10" i="6"/>
  <c r="B11" i="6"/>
  <c r="B1" i="6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1" i="5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1" i="3"/>
</calcChain>
</file>

<file path=xl/sharedStrings.xml><?xml version="1.0" encoding="utf-8"?>
<sst xmlns="http://schemas.openxmlformats.org/spreadsheetml/2006/main" count="152" uniqueCount="88">
  <si>
    <t>Flag</t>
  </si>
  <si>
    <t>UNK</t>
  </si>
  <si>
    <t>CHL</t>
  </si>
  <si>
    <t>USA</t>
  </si>
  <si>
    <t>JPN</t>
  </si>
  <si>
    <t>PER</t>
  </si>
  <si>
    <t>COL</t>
  </si>
  <si>
    <t>ECU</t>
  </si>
  <si>
    <t>MEX</t>
  </si>
  <si>
    <t>PAN</t>
  </si>
  <si>
    <t>OTR</t>
  </si>
  <si>
    <t>CAN</t>
  </si>
  <si>
    <t>TWN</t>
  </si>
  <si>
    <t>ESP</t>
  </si>
  <si>
    <t>CRI</t>
  </si>
  <si>
    <t>NLD</t>
  </si>
  <si>
    <t>BMU</t>
  </si>
  <si>
    <t>KOR</t>
  </si>
  <si>
    <t>SEN</t>
  </si>
  <si>
    <t>VEN</t>
  </si>
  <si>
    <t>CYM</t>
  </si>
  <si>
    <t>VUT</t>
  </si>
  <si>
    <t>PYF</t>
  </si>
  <si>
    <t>GTM</t>
  </si>
  <si>
    <t>BLZ</t>
  </si>
  <si>
    <t>CHN</t>
  </si>
  <si>
    <t>SLV</t>
  </si>
  <si>
    <t>FRA (PYF)</t>
  </si>
  <si>
    <t>EU (ESP)</t>
  </si>
  <si>
    <t>HND</t>
  </si>
  <si>
    <t>NIC</t>
  </si>
  <si>
    <t>CountryGroupID</t>
  </si>
  <si>
    <t xml:space="preserve">FishingEntityID </t>
  </si>
  <si>
    <t>PRT</t>
  </si>
  <si>
    <t>EU (PRT)</t>
  </si>
  <si>
    <t>Species</t>
  </si>
  <si>
    <t>TaxonKey</t>
  </si>
  <si>
    <t>SpeciesGroupID</t>
  </si>
  <si>
    <t>ALB</t>
  </si>
  <si>
    <t>BET</t>
  </si>
  <si>
    <t>BIL</t>
  </si>
  <si>
    <t>BKJ</t>
  </si>
  <si>
    <t>BLM</t>
  </si>
  <si>
    <t>BUM</t>
  </si>
  <si>
    <t>BZX</t>
  </si>
  <si>
    <t>CGX</t>
  </si>
  <si>
    <t>DOX</t>
  </si>
  <si>
    <t>MLS</t>
  </si>
  <si>
    <t>MZZ</t>
  </si>
  <si>
    <t>PBF</t>
  </si>
  <si>
    <t>SFA</t>
  </si>
  <si>
    <t>SKJ</t>
  </si>
  <si>
    <t>SKX</t>
  </si>
  <si>
    <t>SSP</t>
  </si>
  <si>
    <t>SWO</t>
  </si>
  <si>
    <t>TUN</t>
  </si>
  <si>
    <t>YFT</t>
  </si>
  <si>
    <t>SKH</t>
  </si>
  <si>
    <t>SRX</t>
  </si>
  <si>
    <t>BXQ</t>
  </si>
  <si>
    <t>Gear</t>
  </si>
  <si>
    <t>LP</t>
  </si>
  <si>
    <t>PS</t>
  </si>
  <si>
    <t>HAR</t>
  </si>
  <si>
    <t>LTL</t>
  </si>
  <si>
    <t>RG</t>
  </si>
  <si>
    <t>LL</t>
  </si>
  <si>
    <t>GN</t>
  </si>
  <si>
    <t>LHP</t>
  </si>
  <si>
    <t>TX</t>
  </si>
  <si>
    <t>Layer3GearID</t>
  </si>
  <si>
    <t>GearGroupID</t>
  </si>
  <si>
    <t>LX</t>
  </si>
  <si>
    <t>MO</t>
  </si>
  <si>
    <t>NK</t>
  </si>
  <si>
    <t>Unknown</t>
  </si>
  <si>
    <t>Handline</t>
  </si>
  <si>
    <t>Harpoon</t>
  </si>
  <si>
    <t>Gillnet</t>
  </si>
  <si>
    <t>Longline</t>
  </si>
  <si>
    <t>Purse seine</t>
  </si>
  <si>
    <t>Pole and line</t>
  </si>
  <si>
    <t>Troll</t>
  </si>
  <si>
    <t>Longline Other</t>
  </si>
  <si>
    <t>Multi-purpose</t>
  </si>
  <si>
    <t>Other</t>
  </si>
  <si>
    <t>Recreational</t>
  </si>
  <si>
    <t>Trawl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</si>
</sst>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07F6-C350-4F41-881A-DA62E3668FDC}">
  <dimension ref="A1:K121"/>
  <sheetViews>
    <sheetView workbookViewId="0">
      <selection activeCell="B1" sqref="B1:B30"/>
    </sheetView>
  </sheetViews>
  <sheetFormatPr defaultRowHeight="15" x14ac:dyDescent="0.25"/>
  <cols>
    <col min="2" max="2" width="10.5703125" customWidth="1"/>
    <col min="3" max="3" width="15.42578125" bestFit="1" customWidth="1"/>
    <col min="8" max="8" width="24.7109375" bestFit="1" customWidth="1"/>
  </cols>
  <sheetData>
    <row r="1" spans="1:9" x14ac:dyDescent="0.25">
      <c r="A1" t="s">
        <v>1</v>
      </c>
      <c r="B1" t="str">
        <f>VLOOKUP(A1,G:I,1,FALSE)</f>
        <v>UNK</v>
      </c>
      <c r="G1" t="s">
        <v>0</v>
      </c>
      <c r="H1" t="s">
        <v>31</v>
      </c>
      <c r="I1" t="s">
        <v>32</v>
      </c>
    </row>
    <row r="2" spans="1:9" x14ac:dyDescent="0.25">
      <c r="A2" t="s">
        <v>2</v>
      </c>
      <c r="B2" t="str">
        <f t="shared" ref="B2:B30" si="0">VLOOKUP(A2,G:I,1,FALSE)</f>
        <v>CHL</v>
      </c>
      <c r="G2" t="s">
        <v>18</v>
      </c>
      <c r="H2">
        <v>1</v>
      </c>
      <c r="I2">
        <v>157</v>
      </c>
    </row>
    <row r="3" spans="1:9" x14ac:dyDescent="0.25">
      <c r="A3" t="s">
        <v>3</v>
      </c>
      <c r="B3" t="str">
        <f t="shared" si="0"/>
        <v>USA</v>
      </c>
      <c r="G3" t="s">
        <v>10</v>
      </c>
      <c r="H3">
        <v>2</v>
      </c>
      <c r="I3">
        <v>1000</v>
      </c>
    </row>
    <row r="4" spans="1:9" x14ac:dyDescent="0.25">
      <c r="A4" t="s">
        <v>4</v>
      </c>
      <c r="B4" t="str">
        <f t="shared" si="0"/>
        <v>JPN</v>
      </c>
      <c r="G4" t="s">
        <v>25</v>
      </c>
      <c r="H4">
        <v>3</v>
      </c>
      <c r="I4">
        <v>31</v>
      </c>
    </row>
    <row r="5" spans="1:9" x14ac:dyDescent="0.25">
      <c r="A5" t="s">
        <v>5</v>
      </c>
      <c r="B5" t="str">
        <f t="shared" si="0"/>
        <v>PER</v>
      </c>
      <c r="G5" t="s">
        <v>12</v>
      </c>
      <c r="H5">
        <v>3</v>
      </c>
      <c r="I5">
        <v>32</v>
      </c>
    </row>
    <row r="6" spans="1:9" x14ac:dyDescent="0.25">
      <c r="A6" t="s">
        <v>6</v>
      </c>
      <c r="B6" t="str">
        <f t="shared" si="0"/>
        <v>COL</v>
      </c>
      <c r="G6" t="s">
        <v>4</v>
      </c>
      <c r="H6">
        <v>3</v>
      </c>
      <c r="I6">
        <v>91</v>
      </c>
    </row>
    <row r="7" spans="1:9" x14ac:dyDescent="0.25">
      <c r="A7" t="s">
        <v>7</v>
      </c>
      <c r="B7" t="str">
        <f t="shared" si="0"/>
        <v>ECU</v>
      </c>
      <c r="G7" t="s">
        <v>17</v>
      </c>
      <c r="H7">
        <v>3</v>
      </c>
      <c r="I7">
        <v>95</v>
      </c>
    </row>
    <row r="8" spans="1:9" x14ac:dyDescent="0.25">
      <c r="A8" t="s">
        <v>8</v>
      </c>
      <c r="B8" t="str">
        <f t="shared" si="0"/>
        <v>MEX</v>
      </c>
      <c r="G8" t="s">
        <v>24</v>
      </c>
      <c r="H8">
        <v>4</v>
      </c>
      <c r="I8">
        <v>16</v>
      </c>
    </row>
    <row r="9" spans="1:9" x14ac:dyDescent="0.25">
      <c r="A9" t="s">
        <v>9</v>
      </c>
      <c r="B9" t="str">
        <f t="shared" si="0"/>
        <v>PAN</v>
      </c>
      <c r="G9" t="s">
        <v>21</v>
      </c>
      <c r="H9">
        <v>4</v>
      </c>
      <c r="I9">
        <v>122</v>
      </c>
    </row>
    <row r="10" spans="1:9" x14ac:dyDescent="0.25">
      <c r="A10" t="s">
        <v>10</v>
      </c>
      <c r="B10" t="str">
        <f t="shared" si="0"/>
        <v>OTR</v>
      </c>
      <c r="G10" t="s">
        <v>9</v>
      </c>
      <c r="H10">
        <v>4</v>
      </c>
      <c r="I10">
        <v>135</v>
      </c>
    </row>
    <row r="11" spans="1:9" x14ac:dyDescent="0.25">
      <c r="A11" t="s">
        <v>11</v>
      </c>
      <c r="B11" t="str">
        <f t="shared" si="0"/>
        <v>CAN</v>
      </c>
      <c r="G11" t="s">
        <v>16</v>
      </c>
      <c r="H11">
        <v>4</v>
      </c>
      <c r="I11">
        <v>13</v>
      </c>
    </row>
    <row r="12" spans="1:9" x14ac:dyDescent="0.25">
      <c r="A12" t="s">
        <v>12</v>
      </c>
      <c r="B12" t="str">
        <f t="shared" si="0"/>
        <v>TWN</v>
      </c>
      <c r="G12" t="s">
        <v>20</v>
      </c>
      <c r="H12">
        <v>4</v>
      </c>
      <c r="I12">
        <v>28</v>
      </c>
    </row>
    <row r="13" spans="1:9" x14ac:dyDescent="0.25">
      <c r="A13" t="s">
        <v>13</v>
      </c>
      <c r="B13" t="str">
        <f t="shared" si="0"/>
        <v>ESP</v>
      </c>
      <c r="G13" t="s">
        <v>26</v>
      </c>
      <c r="H13">
        <v>4</v>
      </c>
      <c r="I13">
        <v>50</v>
      </c>
    </row>
    <row r="14" spans="1:9" x14ac:dyDescent="0.25">
      <c r="A14" t="s">
        <v>14</v>
      </c>
      <c r="B14" t="str">
        <f t="shared" si="0"/>
        <v>CRI</v>
      </c>
      <c r="G14" t="s">
        <v>11</v>
      </c>
      <c r="H14">
        <v>5</v>
      </c>
      <c r="I14">
        <v>26</v>
      </c>
    </row>
    <row r="15" spans="1:9" x14ac:dyDescent="0.25">
      <c r="A15" t="s">
        <v>15</v>
      </c>
      <c r="B15" t="str">
        <f t="shared" si="0"/>
        <v>NLD</v>
      </c>
      <c r="G15" t="s">
        <v>8</v>
      </c>
      <c r="H15">
        <v>5</v>
      </c>
      <c r="I15">
        <v>110</v>
      </c>
    </row>
    <row r="16" spans="1:9" x14ac:dyDescent="0.25">
      <c r="A16" t="s">
        <v>16</v>
      </c>
      <c r="B16" t="str">
        <f t="shared" si="0"/>
        <v>BMU</v>
      </c>
      <c r="G16" t="s">
        <v>3</v>
      </c>
      <c r="H16">
        <v>5</v>
      </c>
      <c r="I16">
        <v>187</v>
      </c>
    </row>
    <row r="17" spans="1:9" x14ac:dyDescent="0.25">
      <c r="A17" t="s">
        <v>17</v>
      </c>
      <c r="B17" t="str">
        <f t="shared" si="0"/>
        <v>KOR</v>
      </c>
      <c r="G17" t="s">
        <v>22</v>
      </c>
      <c r="H17">
        <v>6</v>
      </c>
      <c r="I17">
        <v>60</v>
      </c>
    </row>
    <row r="18" spans="1:9" x14ac:dyDescent="0.25">
      <c r="A18" t="s">
        <v>18</v>
      </c>
      <c r="B18" t="str">
        <f t="shared" si="0"/>
        <v>SEN</v>
      </c>
      <c r="G18" t="s">
        <v>2</v>
      </c>
      <c r="H18">
        <v>7</v>
      </c>
      <c r="I18">
        <v>30</v>
      </c>
    </row>
    <row r="19" spans="1:9" x14ac:dyDescent="0.25">
      <c r="A19" t="s">
        <v>19</v>
      </c>
      <c r="B19" t="str">
        <f t="shared" si="0"/>
        <v>VEN</v>
      </c>
      <c r="G19" t="s">
        <v>6</v>
      </c>
      <c r="H19">
        <v>7</v>
      </c>
      <c r="I19">
        <v>35</v>
      </c>
    </row>
    <row r="20" spans="1:9" x14ac:dyDescent="0.25">
      <c r="A20" t="s">
        <v>20</v>
      </c>
      <c r="B20" t="str">
        <f t="shared" si="0"/>
        <v>CYM</v>
      </c>
      <c r="G20" t="s">
        <v>14</v>
      </c>
      <c r="H20">
        <v>7</v>
      </c>
      <c r="I20">
        <v>41</v>
      </c>
    </row>
    <row r="21" spans="1:9" x14ac:dyDescent="0.25">
      <c r="A21" t="s">
        <v>21</v>
      </c>
      <c r="B21" t="str">
        <f t="shared" si="0"/>
        <v>VUT</v>
      </c>
      <c r="G21" t="s">
        <v>23</v>
      </c>
      <c r="H21">
        <v>7</v>
      </c>
      <c r="I21">
        <v>75</v>
      </c>
    </row>
    <row r="22" spans="1:9" x14ac:dyDescent="0.25">
      <c r="A22" t="s">
        <v>22</v>
      </c>
      <c r="B22" t="str">
        <f t="shared" si="0"/>
        <v>PYF</v>
      </c>
      <c r="G22" t="s">
        <v>29</v>
      </c>
      <c r="H22">
        <v>7</v>
      </c>
      <c r="I22">
        <v>79</v>
      </c>
    </row>
    <row r="23" spans="1:9" x14ac:dyDescent="0.25">
      <c r="A23" t="s">
        <v>23</v>
      </c>
      <c r="B23" t="str">
        <f t="shared" si="0"/>
        <v>GTM</v>
      </c>
      <c r="G23" t="s">
        <v>19</v>
      </c>
      <c r="H23">
        <v>7</v>
      </c>
      <c r="I23">
        <v>190</v>
      </c>
    </row>
    <row r="24" spans="1:9" x14ac:dyDescent="0.25">
      <c r="A24" t="s">
        <v>24</v>
      </c>
      <c r="B24" t="str">
        <f t="shared" si="0"/>
        <v>BLZ</v>
      </c>
      <c r="G24" t="s">
        <v>7</v>
      </c>
      <c r="H24">
        <v>7</v>
      </c>
      <c r="I24">
        <v>49</v>
      </c>
    </row>
    <row r="25" spans="1:9" x14ac:dyDescent="0.25">
      <c r="A25" t="s">
        <v>25</v>
      </c>
      <c r="B25" t="str">
        <f t="shared" si="0"/>
        <v>CHN</v>
      </c>
      <c r="G25" t="s">
        <v>30</v>
      </c>
      <c r="H25">
        <v>7</v>
      </c>
      <c r="I25">
        <v>124</v>
      </c>
    </row>
    <row r="26" spans="1:9" x14ac:dyDescent="0.25">
      <c r="A26" t="s">
        <v>26</v>
      </c>
      <c r="B26" t="str">
        <f t="shared" si="0"/>
        <v>SLV</v>
      </c>
      <c r="G26" t="s">
        <v>5</v>
      </c>
      <c r="H26">
        <v>7</v>
      </c>
      <c r="I26">
        <v>137</v>
      </c>
    </row>
    <row r="27" spans="1:9" x14ac:dyDescent="0.25">
      <c r="A27" t="s">
        <v>27</v>
      </c>
      <c r="B27" t="str">
        <f t="shared" si="0"/>
        <v>FRA (PYF)</v>
      </c>
      <c r="G27" t="s">
        <v>13</v>
      </c>
      <c r="H27">
        <v>8</v>
      </c>
      <c r="I27">
        <v>165</v>
      </c>
    </row>
    <row r="28" spans="1:9" x14ac:dyDescent="0.25">
      <c r="A28" t="s">
        <v>28</v>
      </c>
      <c r="B28" t="str">
        <f t="shared" si="0"/>
        <v>EU (ESP)</v>
      </c>
      <c r="G28" t="s">
        <v>33</v>
      </c>
      <c r="H28">
        <v>8</v>
      </c>
      <c r="I28">
        <v>141</v>
      </c>
    </row>
    <row r="29" spans="1:9" x14ac:dyDescent="0.25">
      <c r="A29" t="s">
        <v>29</v>
      </c>
      <c r="B29" t="str">
        <f t="shared" si="0"/>
        <v>HND</v>
      </c>
      <c r="G29" t="s">
        <v>15</v>
      </c>
      <c r="H29">
        <v>8</v>
      </c>
      <c r="I29">
        <v>118</v>
      </c>
    </row>
    <row r="30" spans="1:9" x14ac:dyDescent="0.25">
      <c r="A30" t="s">
        <v>30</v>
      </c>
      <c r="B30" t="str">
        <f t="shared" si="0"/>
        <v>NIC</v>
      </c>
      <c r="G30" t="s">
        <v>1</v>
      </c>
      <c r="H30">
        <v>2</v>
      </c>
      <c r="I30">
        <v>1000</v>
      </c>
    </row>
    <row r="31" spans="1:9" x14ac:dyDescent="0.25">
      <c r="G31" t="s">
        <v>27</v>
      </c>
      <c r="H31">
        <v>6</v>
      </c>
      <c r="I31">
        <v>60</v>
      </c>
    </row>
    <row r="32" spans="1:9" x14ac:dyDescent="0.25">
      <c r="G32" t="s">
        <v>28</v>
      </c>
      <c r="H32">
        <v>8</v>
      </c>
      <c r="I32">
        <v>165</v>
      </c>
    </row>
    <row r="33" spans="7:9" x14ac:dyDescent="0.25">
      <c r="G33" t="s">
        <v>34</v>
      </c>
      <c r="H33">
        <v>8</v>
      </c>
      <c r="I33">
        <v>141</v>
      </c>
    </row>
    <row r="121" spans="10:11" x14ac:dyDescent="0.25">
      <c r="J121" s="1"/>
      <c r="K121" s="1"/>
    </row>
  </sheetData>
  <sortState xmlns:xlrd2="http://schemas.microsoft.com/office/spreadsheetml/2017/richdata2" ref="A1:B104805">
    <sortCondition ref="A1:A1048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A17C-F7A1-408A-9C4E-E17680BD3894}">
  <dimension ref="A1:I23"/>
  <sheetViews>
    <sheetView workbookViewId="0">
      <selection activeCell="L15" sqref="L15"/>
    </sheetView>
  </sheetViews>
  <sheetFormatPr defaultRowHeight="15" x14ac:dyDescent="0.25"/>
  <cols>
    <col min="2" max="2" width="10.7109375" customWidth="1"/>
  </cols>
  <sheetData>
    <row r="1" spans="1:9" x14ac:dyDescent="0.25">
      <c r="A1" t="s">
        <v>51</v>
      </c>
      <c r="B1" t="str">
        <f>VLOOKUP(A1,G:I,1,FALSE)</f>
        <v>SKJ</v>
      </c>
      <c r="G1" t="s">
        <v>35</v>
      </c>
      <c r="H1" t="s">
        <v>36</v>
      </c>
      <c r="I1" t="s">
        <v>37</v>
      </c>
    </row>
    <row r="2" spans="1:9" x14ac:dyDescent="0.25">
      <c r="A2" t="s">
        <v>56</v>
      </c>
      <c r="B2" t="str">
        <f t="shared" ref="B2:B21" si="0">VLOOKUP(A2,G:I,1,FALSE)</f>
        <v>YFT</v>
      </c>
      <c r="G2" t="s">
        <v>38</v>
      </c>
      <c r="H2">
        <v>600142</v>
      </c>
      <c r="I2">
        <v>2</v>
      </c>
    </row>
    <row r="3" spans="1:9" x14ac:dyDescent="0.25">
      <c r="A3" t="s">
        <v>54</v>
      </c>
      <c r="B3" t="str">
        <f t="shared" si="0"/>
        <v>SWO</v>
      </c>
      <c r="G3" t="s">
        <v>39</v>
      </c>
      <c r="H3">
        <v>600146</v>
      </c>
      <c r="I3">
        <v>2</v>
      </c>
    </row>
    <row r="4" spans="1:9" x14ac:dyDescent="0.25">
      <c r="A4" t="s">
        <v>44</v>
      </c>
      <c r="B4" t="str">
        <f t="shared" si="0"/>
        <v>BZX</v>
      </c>
      <c r="G4" t="s">
        <v>40</v>
      </c>
      <c r="H4">
        <v>400419</v>
      </c>
      <c r="I4">
        <v>1</v>
      </c>
    </row>
    <row r="5" spans="1:9" x14ac:dyDescent="0.25">
      <c r="A5" t="s">
        <v>38</v>
      </c>
      <c r="B5" t="str">
        <f t="shared" si="0"/>
        <v>ALB</v>
      </c>
      <c r="G5" t="s">
        <v>41</v>
      </c>
      <c r="H5">
        <v>600098</v>
      </c>
      <c r="I5">
        <v>5</v>
      </c>
    </row>
    <row r="6" spans="1:9" x14ac:dyDescent="0.25">
      <c r="A6" t="s">
        <v>49</v>
      </c>
      <c r="B6" t="str">
        <f t="shared" si="0"/>
        <v>PBF</v>
      </c>
      <c r="G6" t="s">
        <v>42</v>
      </c>
      <c r="H6">
        <v>600217</v>
      </c>
      <c r="I6">
        <v>1</v>
      </c>
    </row>
    <row r="7" spans="1:9" x14ac:dyDescent="0.25">
      <c r="A7" t="s">
        <v>39</v>
      </c>
      <c r="B7" t="str">
        <f t="shared" si="0"/>
        <v>BET</v>
      </c>
      <c r="G7" t="s">
        <v>43</v>
      </c>
      <c r="H7">
        <v>600216</v>
      </c>
      <c r="I7">
        <v>1</v>
      </c>
    </row>
    <row r="8" spans="1:9" x14ac:dyDescent="0.25">
      <c r="A8" t="s">
        <v>42</v>
      </c>
      <c r="B8" t="str">
        <f t="shared" si="0"/>
        <v>BLM</v>
      </c>
      <c r="G8" t="s">
        <v>44</v>
      </c>
      <c r="H8">
        <v>400416</v>
      </c>
      <c r="I8">
        <v>5</v>
      </c>
    </row>
    <row r="9" spans="1:9" x14ac:dyDescent="0.25">
      <c r="A9" t="s">
        <v>43</v>
      </c>
      <c r="B9" t="str">
        <f t="shared" si="0"/>
        <v>BUM</v>
      </c>
      <c r="G9" t="s">
        <v>45</v>
      </c>
      <c r="H9">
        <v>400314</v>
      </c>
      <c r="I9">
        <v>4</v>
      </c>
    </row>
    <row r="10" spans="1:9" x14ac:dyDescent="0.25">
      <c r="A10" t="s">
        <v>47</v>
      </c>
      <c r="B10" t="str">
        <f t="shared" si="0"/>
        <v>MLS</v>
      </c>
      <c r="G10" t="s">
        <v>46</v>
      </c>
      <c r="H10">
        <v>500116</v>
      </c>
      <c r="I10">
        <v>4</v>
      </c>
    </row>
    <row r="11" spans="1:9" x14ac:dyDescent="0.25">
      <c r="A11" t="s">
        <v>45</v>
      </c>
      <c r="B11" t="str">
        <f t="shared" si="0"/>
        <v>CGX</v>
      </c>
      <c r="G11" t="s">
        <v>47</v>
      </c>
      <c r="H11">
        <v>600223</v>
      </c>
      <c r="I11">
        <v>1</v>
      </c>
    </row>
    <row r="12" spans="1:9" x14ac:dyDescent="0.25">
      <c r="A12" t="s">
        <v>48</v>
      </c>
      <c r="B12" t="str">
        <f t="shared" si="0"/>
        <v>MZZ</v>
      </c>
      <c r="G12" t="s">
        <v>48</v>
      </c>
      <c r="H12">
        <v>100339</v>
      </c>
      <c r="I12">
        <v>4</v>
      </c>
    </row>
    <row r="13" spans="1:9" x14ac:dyDescent="0.25">
      <c r="A13" t="s">
        <v>41</v>
      </c>
      <c r="B13" t="str">
        <f t="shared" si="0"/>
        <v>BKJ</v>
      </c>
      <c r="G13" t="s">
        <v>49</v>
      </c>
      <c r="H13">
        <v>614290</v>
      </c>
      <c r="I13">
        <v>2</v>
      </c>
    </row>
    <row r="14" spans="1:9" x14ac:dyDescent="0.25">
      <c r="A14" t="s">
        <v>40</v>
      </c>
      <c r="B14" t="str">
        <f t="shared" si="0"/>
        <v>BIL</v>
      </c>
      <c r="G14" t="s">
        <v>50</v>
      </c>
      <c r="H14">
        <v>600077</v>
      </c>
      <c r="I14">
        <v>1</v>
      </c>
    </row>
    <row r="15" spans="1:9" x14ac:dyDescent="0.25">
      <c r="A15" t="s">
        <v>57</v>
      </c>
      <c r="B15" t="str">
        <f t="shared" si="0"/>
        <v>SKH</v>
      </c>
      <c r="G15" t="s">
        <v>51</v>
      </c>
      <c r="H15">
        <v>600107</v>
      </c>
      <c r="I15">
        <v>2</v>
      </c>
    </row>
    <row r="16" spans="1:9" x14ac:dyDescent="0.25">
      <c r="A16" t="s">
        <v>55</v>
      </c>
      <c r="B16" t="str">
        <f t="shared" si="0"/>
        <v>TUN</v>
      </c>
      <c r="G16" t="s">
        <v>52</v>
      </c>
      <c r="H16">
        <v>200004</v>
      </c>
      <c r="I16">
        <v>3</v>
      </c>
    </row>
    <row r="17" spans="1:9" x14ac:dyDescent="0.25">
      <c r="A17" t="s">
        <v>46</v>
      </c>
      <c r="B17" t="str">
        <f t="shared" si="0"/>
        <v>DOX</v>
      </c>
      <c r="G17" t="s">
        <v>53</v>
      </c>
      <c r="H17">
        <v>603915</v>
      </c>
      <c r="I17">
        <v>1</v>
      </c>
    </row>
    <row r="18" spans="1:9" x14ac:dyDescent="0.25">
      <c r="A18" t="s">
        <v>50</v>
      </c>
      <c r="B18" t="str">
        <f t="shared" si="0"/>
        <v>SFA</v>
      </c>
      <c r="G18" t="s">
        <v>54</v>
      </c>
      <c r="H18">
        <v>600226</v>
      </c>
      <c r="I18">
        <v>1</v>
      </c>
    </row>
    <row r="19" spans="1:9" x14ac:dyDescent="0.25">
      <c r="A19" t="s">
        <v>53</v>
      </c>
      <c r="B19" t="str">
        <f t="shared" si="0"/>
        <v>SSP</v>
      </c>
      <c r="G19" t="s">
        <v>55</v>
      </c>
      <c r="H19">
        <v>400416</v>
      </c>
      <c r="I19">
        <v>5</v>
      </c>
    </row>
    <row r="20" spans="1:9" x14ac:dyDescent="0.25">
      <c r="A20" t="s">
        <v>58</v>
      </c>
      <c r="B20" t="str">
        <f t="shared" si="0"/>
        <v>SRX</v>
      </c>
      <c r="G20" t="s">
        <v>56</v>
      </c>
      <c r="H20">
        <v>600143</v>
      </c>
      <c r="I20">
        <v>2</v>
      </c>
    </row>
    <row r="21" spans="1:9" x14ac:dyDescent="0.25">
      <c r="A21" t="s">
        <v>59</v>
      </c>
      <c r="B21" t="str">
        <f t="shared" si="0"/>
        <v>BXQ</v>
      </c>
      <c r="G21" t="s">
        <v>57</v>
      </c>
      <c r="H21">
        <v>200004</v>
      </c>
      <c r="I21">
        <v>3</v>
      </c>
    </row>
    <row r="22" spans="1:9" x14ac:dyDescent="0.25">
      <c r="G22" t="s">
        <v>58</v>
      </c>
      <c r="H22">
        <v>200004</v>
      </c>
      <c r="I22">
        <v>3</v>
      </c>
    </row>
    <row r="23" spans="1:9" x14ac:dyDescent="0.25">
      <c r="G23" s="1" t="s">
        <v>59</v>
      </c>
      <c r="H23" s="1">
        <v>400419</v>
      </c>
      <c r="I23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801E-F69D-45F6-90CA-F492A2AA14F9}">
  <dimension ref="A1:I15"/>
  <sheetViews>
    <sheetView tabSelected="1" workbookViewId="0">
      <selection activeCell="J20" sqref="J20"/>
    </sheetView>
  </sheetViews>
  <sheetFormatPr defaultRowHeight="15" x14ac:dyDescent="0.25"/>
  <cols>
    <col min="7" max="7" width="12.7109375" bestFit="1" customWidth="1"/>
  </cols>
  <sheetData>
    <row r="1" spans="1:9" x14ac:dyDescent="0.25">
      <c r="A1" t="s">
        <v>61</v>
      </c>
      <c r="B1" t="str">
        <f>VLOOKUP(A1,F:H,1,FALSE)</f>
        <v>LP</v>
      </c>
      <c r="F1" t="s">
        <v>60</v>
      </c>
      <c r="G1" t="s">
        <v>70</v>
      </c>
      <c r="H1" t="s">
        <v>71</v>
      </c>
    </row>
    <row r="2" spans="1:9" x14ac:dyDescent="0.25">
      <c r="A2" t="s">
        <v>62</v>
      </c>
      <c r="B2" t="str">
        <f t="shared" ref="B2:B11" si="0">VLOOKUP(A2,F:H,1,FALSE)</f>
        <v>PS</v>
      </c>
      <c r="F2" t="s">
        <v>61</v>
      </c>
      <c r="G2">
        <v>1</v>
      </c>
      <c r="H2">
        <v>31</v>
      </c>
      <c r="I2" t="s">
        <v>81</v>
      </c>
    </row>
    <row r="3" spans="1:9" x14ac:dyDescent="0.25">
      <c r="A3" t="s">
        <v>1</v>
      </c>
      <c r="B3" t="str">
        <f t="shared" si="0"/>
        <v>UNK</v>
      </c>
      <c r="F3" t="s">
        <v>67</v>
      </c>
      <c r="G3">
        <v>10</v>
      </c>
      <c r="H3">
        <v>50</v>
      </c>
      <c r="I3" t="s">
        <v>78</v>
      </c>
    </row>
    <row r="4" spans="1:9" x14ac:dyDescent="0.25">
      <c r="A4" t="s">
        <v>63</v>
      </c>
      <c r="B4" t="str">
        <f t="shared" si="0"/>
        <v>HAR</v>
      </c>
      <c r="F4" t="s">
        <v>66</v>
      </c>
      <c r="G4">
        <v>22</v>
      </c>
      <c r="H4">
        <v>32</v>
      </c>
      <c r="I4" t="s">
        <v>79</v>
      </c>
    </row>
    <row r="5" spans="1:9" x14ac:dyDescent="0.25">
      <c r="A5" t="s">
        <v>64</v>
      </c>
      <c r="B5" t="str">
        <f t="shared" si="0"/>
        <v>LTL</v>
      </c>
      <c r="F5" t="s">
        <v>62</v>
      </c>
      <c r="G5">
        <v>43</v>
      </c>
      <c r="H5">
        <v>41</v>
      </c>
      <c r="I5" t="s">
        <v>80</v>
      </c>
    </row>
    <row r="6" spans="1:9" x14ac:dyDescent="0.25">
      <c r="A6" t="s">
        <v>65</v>
      </c>
      <c r="B6" t="str">
        <f t="shared" si="0"/>
        <v>RG</v>
      </c>
      <c r="F6" t="s">
        <v>63</v>
      </c>
      <c r="G6">
        <v>19</v>
      </c>
      <c r="H6">
        <v>61</v>
      </c>
      <c r="I6" t="s">
        <v>77</v>
      </c>
    </row>
    <row r="7" spans="1:9" x14ac:dyDescent="0.25">
      <c r="A7" t="s">
        <v>66</v>
      </c>
      <c r="B7" t="str">
        <f t="shared" si="0"/>
        <v>LL</v>
      </c>
      <c r="F7" t="s">
        <v>64</v>
      </c>
      <c r="G7">
        <v>67</v>
      </c>
      <c r="H7">
        <v>61</v>
      </c>
      <c r="I7" t="s">
        <v>82</v>
      </c>
    </row>
    <row r="8" spans="1:9" x14ac:dyDescent="0.25">
      <c r="A8" t="s">
        <v>67</v>
      </c>
      <c r="B8" t="str">
        <f t="shared" si="0"/>
        <v>GN</v>
      </c>
      <c r="F8" t="s">
        <v>72</v>
      </c>
      <c r="G8">
        <v>21</v>
      </c>
      <c r="H8">
        <v>61</v>
      </c>
      <c r="I8" t="s">
        <v>83</v>
      </c>
    </row>
    <row r="9" spans="1:9" x14ac:dyDescent="0.25">
      <c r="A9" t="s">
        <v>10</v>
      </c>
      <c r="B9" t="str">
        <f t="shared" si="0"/>
        <v>OTR</v>
      </c>
      <c r="F9" t="s">
        <v>73</v>
      </c>
      <c r="G9">
        <v>41</v>
      </c>
      <c r="H9">
        <v>61</v>
      </c>
      <c r="I9" t="s">
        <v>84</v>
      </c>
    </row>
    <row r="10" spans="1:9" x14ac:dyDescent="0.25">
      <c r="A10" t="s">
        <v>68</v>
      </c>
      <c r="B10" t="str">
        <f t="shared" si="0"/>
        <v>LHP</v>
      </c>
      <c r="F10" t="s">
        <v>74</v>
      </c>
      <c r="G10">
        <v>41</v>
      </c>
      <c r="H10">
        <v>61</v>
      </c>
    </row>
    <row r="11" spans="1:9" x14ac:dyDescent="0.25">
      <c r="A11" t="s">
        <v>69</v>
      </c>
      <c r="B11" t="str">
        <f t="shared" si="0"/>
        <v>TX</v>
      </c>
      <c r="F11" t="s">
        <v>10</v>
      </c>
      <c r="G11">
        <v>41</v>
      </c>
      <c r="H11">
        <v>61</v>
      </c>
      <c r="I11" t="s">
        <v>85</v>
      </c>
    </row>
    <row r="12" spans="1:9" x14ac:dyDescent="0.25">
      <c r="F12" t="s">
        <v>65</v>
      </c>
      <c r="G12">
        <v>56</v>
      </c>
      <c r="H12">
        <v>61</v>
      </c>
      <c r="I12" t="s">
        <v>86</v>
      </c>
    </row>
    <row r="13" spans="1:9" x14ac:dyDescent="0.25">
      <c r="F13" s="1" t="s">
        <v>1</v>
      </c>
      <c r="G13" s="1">
        <v>41</v>
      </c>
      <c r="H13" s="1">
        <v>61</v>
      </c>
      <c r="I13" s="1" t="s">
        <v>75</v>
      </c>
    </row>
    <row r="14" spans="1:9" x14ac:dyDescent="0.25">
      <c r="F14" s="1" t="s">
        <v>68</v>
      </c>
      <c r="G14" s="1">
        <v>5</v>
      </c>
      <c r="H14" s="1">
        <v>33</v>
      </c>
      <c r="I14" s="1" t="s">
        <v>76</v>
      </c>
    </row>
    <row r="15" spans="1:9" x14ac:dyDescent="0.25">
      <c r="F15" s="1" t="s">
        <v>69</v>
      </c>
      <c r="G15" s="1">
        <v>60</v>
      </c>
      <c r="H15" s="1">
        <v>60</v>
      </c>
      <c r="I15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Nominal Country Codes</vt:lpstr>
      <vt:lpstr>Nominal Species Codes</vt:lpstr>
      <vt:lpstr>Gear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Shelumiel</dc:creator>
  <cp:lastModifiedBy>Ortiz, Shelumiel</cp:lastModifiedBy>
  <dcterms:created xsi:type="dcterms:W3CDTF">2025-10-01T16:28:28Z</dcterms:created>
  <dcterms:modified xsi:type="dcterms:W3CDTF">2025-10-14T18:41:53Z</dcterms:modified>
</cp:coreProperties>
</file>