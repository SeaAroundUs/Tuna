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AroundUs_Projects\Layer 3\2025\ICCAT\input_codes\"/>
    </mc:Choice>
  </mc:AlternateContent>
  <xr:revisionPtr revIDLastSave="0" documentId="13_ncr:1_{B6AACA6F-CA78-4DAD-8521-6AF5ACA48983}" xr6:coauthVersionLast="47" xr6:coauthVersionMax="47" xr10:uidLastSave="{00000000-0000-0000-0000-000000000000}"/>
  <bookViews>
    <workbookView xWindow="-120" yWindow="-120" windowWidth="29040" windowHeight="15720" activeTab="2" xr2:uid="{F6D5E0E1-59F9-4CCA-B84F-C66DE6783958}"/>
  </bookViews>
  <sheets>
    <sheet name="Nominal Country Codes" sheetId="3" r:id="rId1"/>
    <sheet name="Nominal Gear" sheetId="1" r:id="rId2"/>
    <sheet name="Nominal SpeciesCode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0" i="2" l="1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07" i="2"/>
  <c r="L108" i="2"/>
  <c r="L109" i="2"/>
  <c r="L100" i="2"/>
  <c r="L101" i="2"/>
  <c r="L102" i="2"/>
  <c r="L103" i="2"/>
  <c r="L104" i="2"/>
  <c r="L105" i="2"/>
  <c r="L106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1" i="1"/>
  <c r="B5" i="3"/>
  <c r="B10" i="3"/>
  <c r="B13" i="3"/>
  <c r="B23" i="3"/>
  <c r="B35" i="3"/>
  <c r="B37" i="3"/>
  <c r="B39" i="3"/>
  <c r="B73" i="3"/>
  <c r="B42" i="3"/>
  <c r="B74" i="3"/>
  <c r="B45" i="3"/>
  <c r="B99" i="3"/>
  <c r="B33" i="3"/>
  <c r="B107" i="3"/>
  <c r="B114" i="3"/>
  <c r="B118" i="3"/>
  <c r="B55" i="3"/>
  <c r="B117" i="3"/>
  <c r="B76" i="3"/>
  <c r="B3" i="3"/>
  <c r="B67" i="3"/>
  <c r="B29" i="3"/>
  <c r="B69" i="3"/>
  <c r="B106" i="3"/>
  <c r="B71" i="3"/>
  <c r="B87" i="3"/>
  <c r="B18" i="3"/>
  <c r="B36" i="3"/>
  <c r="B47" i="3"/>
  <c r="B58" i="3"/>
  <c r="B78" i="3"/>
  <c r="B70" i="3"/>
  <c r="B115" i="3"/>
  <c r="B26" i="3"/>
  <c r="B31" i="3"/>
  <c r="B54" i="3"/>
  <c r="B95" i="3"/>
  <c r="B113" i="3"/>
  <c r="B46" i="3"/>
  <c r="B89" i="3"/>
  <c r="B105" i="3"/>
  <c r="B22" i="3"/>
  <c r="B72" i="3"/>
  <c r="B27" i="3"/>
  <c r="B111" i="3"/>
  <c r="B19" i="3"/>
  <c r="B7" i="3"/>
  <c r="B103" i="3"/>
  <c r="B14" i="3"/>
  <c r="B104" i="3"/>
  <c r="B24" i="3"/>
  <c r="B101" i="3"/>
  <c r="B61" i="3"/>
  <c r="B75" i="3"/>
  <c r="B6" i="3"/>
  <c r="B44" i="3"/>
  <c r="B38" i="3"/>
  <c r="B93" i="3"/>
  <c r="B108" i="3"/>
  <c r="B98" i="3"/>
  <c r="B9" i="3"/>
  <c r="B20" i="3"/>
  <c r="B15" i="3"/>
  <c r="B85" i="3"/>
  <c r="B86" i="3"/>
  <c r="B43" i="3"/>
  <c r="B83" i="3"/>
  <c r="B12" i="3"/>
  <c r="B81" i="3"/>
  <c r="B60" i="3"/>
  <c r="B82" i="3"/>
  <c r="B110" i="3"/>
  <c r="B100" i="3"/>
  <c r="B25" i="3"/>
  <c r="B34" i="3"/>
  <c r="B53" i="3"/>
  <c r="B40" i="3"/>
  <c r="B41" i="3"/>
  <c r="B32" i="3"/>
  <c r="B52" i="3"/>
  <c r="B30" i="3"/>
  <c r="B92" i="3"/>
  <c r="B96" i="3"/>
  <c r="B91" i="3"/>
  <c r="B57" i="3"/>
  <c r="B51" i="3"/>
  <c r="B4" i="3"/>
  <c r="B17" i="3"/>
  <c r="B21" i="3"/>
  <c r="B79" i="3"/>
  <c r="B64" i="3"/>
  <c r="B8" i="3"/>
  <c r="B1" i="3"/>
  <c r="B68" i="3"/>
  <c r="B63" i="3"/>
  <c r="B66" i="3"/>
  <c r="B49" i="3"/>
  <c r="B90" i="3"/>
  <c r="B11" i="3"/>
  <c r="B48" i="3"/>
  <c r="B50" i="3"/>
  <c r="B97" i="3"/>
  <c r="B62" i="3"/>
  <c r="B88" i="3"/>
  <c r="B94" i="3"/>
  <c r="B16" i="3"/>
  <c r="B112" i="3"/>
  <c r="B109" i="3"/>
  <c r="B116" i="3"/>
  <c r="B28" i="3"/>
  <c r="B59" i="3"/>
  <c r="B77" i="3"/>
  <c r="B80" i="3"/>
  <c r="B102" i="3"/>
  <c r="B65" i="3"/>
  <c r="B84" i="3"/>
  <c r="B56" i="3"/>
  <c r="B2" i="3"/>
</calcChain>
</file>

<file path=xl/sharedStrings.xml><?xml version="1.0" encoding="utf-8"?>
<sst xmlns="http://schemas.openxmlformats.org/spreadsheetml/2006/main" count="1126" uniqueCount="554">
  <si>
    <t>GearCode</t>
  </si>
  <si>
    <t>TRAP</t>
  </si>
  <si>
    <t>UNCL</t>
  </si>
  <si>
    <t>PS</t>
  </si>
  <si>
    <t>BB</t>
  </si>
  <si>
    <t>HARPE</t>
  </si>
  <si>
    <t>RRFB</t>
  </si>
  <si>
    <t>HARP</t>
  </si>
  <si>
    <t>LL</t>
  </si>
  <si>
    <t>GILL</t>
  </si>
  <si>
    <t>TROL</t>
  </si>
  <si>
    <t>HAND</t>
  </si>
  <si>
    <t>SURF</t>
  </si>
  <si>
    <t>LLSWO</t>
  </si>
  <si>
    <t>TRAW</t>
  </si>
  <si>
    <t>RRFS</t>
  </si>
  <si>
    <t>LL-B</t>
  </si>
  <si>
    <t>HS</t>
  </si>
  <si>
    <t>TN</t>
  </si>
  <si>
    <t>RR</t>
  </si>
  <si>
    <t>PSFB</t>
  </si>
  <si>
    <t>LLFB</t>
  </si>
  <si>
    <t>BBI</t>
  </si>
  <si>
    <t>LL-surf</t>
  </si>
  <si>
    <t>LLMB</t>
  </si>
  <si>
    <t>PSM</t>
  </si>
  <si>
    <t>PSD</t>
  </si>
  <si>
    <t>PSFS</t>
  </si>
  <si>
    <t>PSG</t>
  </si>
  <si>
    <t>BBF</t>
  </si>
  <si>
    <t>PSS</t>
  </si>
  <si>
    <t>LLALB</t>
  </si>
  <si>
    <t>TRAWP</t>
  </si>
  <si>
    <t>LLJAP</t>
  </si>
  <si>
    <t>TL</t>
  </si>
  <si>
    <t>LLHB</t>
  </si>
  <si>
    <t>LLBFT</t>
  </si>
  <si>
    <t>TRAWPP</t>
  </si>
  <si>
    <t>LL-deri</t>
  </si>
  <si>
    <t>PSLB</t>
  </si>
  <si>
    <t>LLPB</t>
  </si>
  <si>
    <t>LL-Shrk</t>
  </si>
  <si>
    <t>TRAWB</t>
  </si>
  <si>
    <t>FASA</t>
  </si>
  <si>
    <t>TRAP-S</t>
  </si>
  <si>
    <t>GNS</t>
  </si>
  <si>
    <t>OTH</t>
  </si>
  <si>
    <t>BBALB</t>
  </si>
  <si>
    <t>Algerie</t>
  </si>
  <si>
    <t>Argentina</t>
  </si>
  <si>
    <t>Brazil</t>
  </si>
  <si>
    <t>Canada</t>
  </si>
  <si>
    <t>Cuba</t>
  </si>
  <si>
    <t>EU-France</t>
  </si>
  <si>
    <t>EU-Greece</t>
  </si>
  <si>
    <t>EU-Italy</t>
  </si>
  <si>
    <t>Libya</t>
  </si>
  <si>
    <t>EU-Malta</t>
  </si>
  <si>
    <t>Maroc</t>
  </si>
  <si>
    <t>EU-Portugal</t>
  </si>
  <si>
    <t>South Africa</t>
  </si>
  <si>
    <t>EU-España</t>
  </si>
  <si>
    <t>Türkiye</t>
  </si>
  <si>
    <t>USA</t>
  </si>
  <si>
    <t>Yugoslavia Fed</t>
  </si>
  <si>
    <t>Ghana</t>
  </si>
  <si>
    <t>Venezuela</t>
  </si>
  <si>
    <t>Mexico</t>
  </si>
  <si>
    <t>Angola</t>
  </si>
  <si>
    <t>Israel</t>
  </si>
  <si>
    <t>EU-Bulgaria</t>
  </si>
  <si>
    <t>Japan</t>
  </si>
  <si>
    <t>Tunisie</t>
  </si>
  <si>
    <t>Lebanon</t>
  </si>
  <si>
    <t>Norway</t>
  </si>
  <si>
    <t>Chinese Taipei</t>
  </si>
  <si>
    <t>EU-Germany</t>
  </si>
  <si>
    <t>EU-Sweden</t>
  </si>
  <si>
    <t>Grenada</t>
  </si>
  <si>
    <t>Mixed flags (FR+ES)</t>
  </si>
  <si>
    <t>Korea Rep</t>
  </si>
  <si>
    <t>USSR</t>
  </si>
  <si>
    <t>Dominican Republic</t>
  </si>
  <si>
    <t>EU-Cyprus</t>
  </si>
  <si>
    <t>Germany Democratic Rep</t>
  </si>
  <si>
    <t>Senegal</t>
  </si>
  <si>
    <t>Uruguay</t>
  </si>
  <si>
    <t>EU-Rumania</t>
  </si>
  <si>
    <t>Panama</t>
  </si>
  <si>
    <t>Trinidad and Tobago</t>
  </si>
  <si>
    <t>Côte d'Ivoire</t>
  </si>
  <si>
    <t>Liberia</t>
  </si>
  <si>
    <t>Egypt</t>
  </si>
  <si>
    <t>UK-Sta Helena</t>
  </si>
  <si>
    <t>Colombia</t>
  </si>
  <si>
    <t>Barbados</t>
  </si>
  <si>
    <t>Syria</t>
  </si>
  <si>
    <t>Cape Verde</t>
  </si>
  <si>
    <t>Togo</t>
  </si>
  <si>
    <t>Curaçao</t>
  </si>
  <si>
    <t>Sta Lucia</t>
  </si>
  <si>
    <t>Guinea Ecuatorial</t>
  </si>
  <si>
    <t>Mauritania</t>
  </si>
  <si>
    <t>Aruba</t>
  </si>
  <si>
    <t>EU-Poland</t>
  </si>
  <si>
    <t>EU-Ireland</t>
  </si>
  <si>
    <t>S Tomé e Príncipe</t>
  </si>
  <si>
    <t>UK-Bermuda</t>
  </si>
  <si>
    <t>Sierra Leone</t>
  </si>
  <si>
    <t>Benin</t>
  </si>
  <si>
    <t>Congo</t>
  </si>
  <si>
    <t>Cayman Islands</t>
  </si>
  <si>
    <t>NEI (MED)</t>
  </si>
  <si>
    <t>Nigeria</t>
  </si>
  <si>
    <t>EU-Netherlands</t>
  </si>
  <si>
    <t>NEI (Flag related)</t>
  </si>
  <si>
    <t>Cameroon</t>
  </si>
  <si>
    <t>NEI (combined)</t>
  </si>
  <si>
    <t>Guinea Bissau</t>
  </si>
  <si>
    <t>NEI (ETRO)</t>
  </si>
  <si>
    <t>Ukraine</t>
  </si>
  <si>
    <t>St Vincent and Grenadines</t>
  </si>
  <si>
    <t>Dominica</t>
  </si>
  <si>
    <t>EU-Estonia</t>
  </si>
  <si>
    <t>Georgia</t>
  </si>
  <si>
    <t>EU-Latvia</t>
  </si>
  <si>
    <t>EU-Lithuania</t>
  </si>
  <si>
    <t>EU-Denmark</t>
  </si>
  <si>
    <t>Gambia</t>
  </si>
  <si>
    <t>EU-Croatia</t>
  </si>
  <si>
    <t>Russian Federation</t>
  </si>
  <si>
    <t>Serbia &amp; Montenegro</t>
  </si>
  <si>
    <t>Puerto Rico</t>
  </si>
  <si>
    <t>Great Britain</t>
  </si>
  <si>
    <t>Gabon</t>
  </si>
  <si>
    <t>Antigua and Barbuda</t>
  </si>
  <si>
    <t>China PR</t>
  </si>
  <si>
    <t>Costa Rica</t>
  </si>
  <si>
    <t>Namibia</t>
  </si>
  <si>
    <t>Honduras</t>
  </si>
  <si>
    <t>Belize</t>
  </si>
  <si>
    <t>Albania</t>
  </si>
  <si>
    <t>Jamaica</t>
  </si>
  <si>
    <t>Guyana</t>
  </si>
  <si>
    <t>Iceland</t>
  </si>
  <si>
    <t>Faroe Islands</t>
  </si>
  <si>
    <t>Philippines</t>
  </si>
  <si>
    <t>Cambodia</t>
  </si>
  <si>
    <t>Falklands</t>
  </si>
  <si>
    <t>FR-St Pierre et Miquelon</t>
  </si>
  <si>
    <t>Seychelles</t>
  </si>
  <si>
    <t>Guinée Rep</t>
  </si>
  <si>
    <t>Palestine</t>
  </si>
  <si>
    <t>Saint Kitts and Nevis</t>
  </si>
  <si>
    <t>Chile</t>
  </si>
  <si>
    <t>UK-Turks and Caicos</t>
  </si>
  <si>
    <t>UK-British Virgin Islands</t>
  </si>
  <si>
    <t>Vanuatu</t>
  </si>
  <si>
    <t>El Salvador</t>
  </si>
  <si>
    <t>Guatemala</t>
  </si>
  <si>
    <t>Mixed flags (EU tropical)</t>
  </si>
  <si>
    <t>NEI (BIL)</t>
  </si>
  <si>
    <t>Suriname</t>
  </si>
  <si>
    <t>ICCAT (RMA)</t>
  </si>
  <si>
    <t>NEI (inflated)</t>
  </si>
  <si>
    <t>Gibraltar</t>
  </si>
  <si>
    <t>SpeciesCode</t>
  </si>
  <si>
    <t>BFT</t>
  </si>
  <si>
    <t>BON</t>
  </si>
  <si>
    <t>SKJ</t>
  </si>
  <si>
    <t>SWO</t>
  </si>
  <si>
    <t>BLF</t>
  </si>
  <si>
    <t>SSM</t>
  </si>
  <si>
    <t>ALB</t>
  </si>
  <si>
    <t>BOP</t>
  </si>
  <si>
    <t>BET</t>
  </si>
  <si>
    <t>TUN</t>
  </si>
  <si>
    <t>LTA</t>
  </si>
  <si>
    <t>FRI</t>
  </si>
  <si>
    <t>KGM</t>
  </si>
  <si>
    <t>SAI</t>
  </si>
  <si>
    <t>BUM</t>
  </si>
  <si>
    <t>WHM</t>
  </si>
  <si>
    <t>MAW</t>
  </si>
  <si>
    <t>BRS</t>
  </si>
  <si>
    <t>CER</t>
  </si>
  <si>
    <t>YFT</t>
  </si>
  <si>
    <t>SBF</t>
  </si>
  <si>
    <t>WAH</t>
  </si>
  <si>
    <t>KGX</t>
  </si>
  <si>
    <t>BIL</t>
  </si>
  <si>
    <t>BLT</t>
  </si>
  <si>
    <t>SPF</t>
  </si>
  <si>
    <t>BLM</t>
  </si>
  <si>
    <t>SKH</t>
  </si>
  <si>
    <t>SLT</t>
  </si>
  <si>
    <t>MSP</t>
  </si>
  <si>
    <t>SHX</t>
  </si>
  <si>
    <t>POR</t>
  </si>
  <si>
    <t>RSK</t>
  </si>
  <si>
    <t>SPN</t>
  </si>
  <si>
    <t>CCP</t>
  </si>
  <si>
    <t>BSH</t>
  </si>
  <si>
    <t>LMA</t>
  </si>
  <si>
    <t>ALV</t>
  </si>
  <si>
    <t>SMA</t>
  </si>
  <si>
    <t>DGZ</t>
  </si>
  <si>
    <t>FAL</t>
  </si>
  <si>
    <t>BTH</t>
  </si>
  <si>
    <t>OCS</t>
  </si>
  <si>
    <t>CCL</t>
  </si>
  <si>
    <t>CCS</t>
  </si>
  <si>
    <t>TIG</t>
  </si>
  <si>
    <t>CCE</t>
  </si>
  <si>
    <t>GAG</t>
  </si>
  <si>
    <t>THR</t>
  </si>
  <si>
    <t>DUS</t>
  </si>
  <si>
    <t>SPK</t>
  </si>
  <si>
    <t>WSH</t>
  </si>
  <si>
    <t>DGS</t>
  </si>
  <si>
    <t>DGH</t>
  </si>
  <si>
    <t>BSK</t>
  </si>
  <si>
    <t>CYO</t>
  </si>
  <si>
    <t>GUQ</t>
  </si>
  <si>
    <t>DGX</t>
  </si>
  <si>
    <t>SDV</t>
  </si>
  <si>
    <t>GNC</t>
  </si>
  <si>
    <t>SPL</t>
  </si>
  <si>
    <t>SMD</t>
  </si>
  <si>
    <t>SBL</t>
  </si>
  <si>
    <t>BRO</t>
  </si>
  <si>
    <t>CCA</t>
  </si>
  <si>
    <t>CCB</t>
  </si>
  <si>
    <t>RHT</t>
  </si>
  <si>
    <t>SPZ</t>
  </si>
  <si>
    <t>CCT</t>
  </si>
  <si>
    <t>SCK</t>
  </si>
  <si>
    <t>CCG</t>
  </si>
  <si>
    <t>MSK</t>
  </si>
  <si>
    <t>NGB</t>
  </si>
  <si>
    <t>SSP</t>
  </si>
  <si>
    <t>DOL</t>
  </si>
  <si>
    <t>AGN</t>
  </si>
  <si>
    <t>CFB</t>
  </si>
  <si>
    <t>CYP</t>
  </si>
  <si>
    <t>SCL</t>
  </si>
  <si>
    <t>SYC</t>
  </si>
  <si>
    <t>SYT</t>
  </si>
  <si>
    <t>SYX</t>
  </si>
  <si>
    <t>CCR</t>
  </si>
  <si>
    <t>SHO</t>
  </si>
  <si>
    <t>SDS</t>
  </si>
  <si>
    <t>GSK</t>
  </si>
  <si>
    <t>GUP</t>
  </si>
  <si>
    <t>CPL</t>
  </si>
  <si>
    <t>SHL</t>
  </si>
  <si>
    <t>DCA</t>
  </si>
  <si>
    <t>ASK</t>
  </si>
  <si>
    <t>OXY</t>
  </si>
  <si>
    <t>SHB</t>
  </si>
  <si>
    <t>CCN</t>
  </si>
  <si>
    <t>CCO</t>
  </si>
  <si>
    <t>SPJ</t>
  </si>
  <si>
    <t>DOP</t>
  </si>
  <si>
    <t>NPH</t>
  </si>
  <si>
    <t>MLS</t>
  </si>
  <si>
    <t>CTK</t>
  </si>
  <si>
    <t>RHA</t>
  </si>
  <si>
    <t>BLR</t>
  </si>
  <si>
    <t>ETX</t>
  </si>
  <si>
    <t>OXN</t>
  </si>
  <si>
    <t>SYR</t>
  </si>
  <si>
    <t>TUS</t>
  </si>
  <si>
    <t>OIL</t>
  </si>
  <si>
    <t>LMD</t>
  </si>
  <si>
    <t>PTH</t>
  </si>
  <si>
    <t>PSK</t>
  </si>
  <si>
    <t>RSP</t>
  </si>
  <si>
    <t>SPY</t>
  </si>
  <si>
    <t>TRK</t>
  </si>
  <si>
    <t>ETR</t>
  </si>
  <si>
    <t>BUK</t>
  </si>
  <si>
    <t>API</t>
  </si>
  <si>
    <t>GAU</t>
  </si>
  <si>
    <t>PTM</t>
  </si>
  <si>
    <t>SOR</t>
  </si>
  <si>
    <t>ALS</t>
  </si>
  <si>
    <t>NTC</t>
  </si>
  <si>
    <t>RHN</t>
  </si>
  <si>
    <t>LEC</t>
  </si>
  <si>
    <t>LES</t>
  </si>
  <si>
    <t>SYO</t>
  </si>
  <si>
    <t>HXT</t>
  </si>
  <si>
    <t>AMB</t>
  </si>
  <si>
    <t>GBA</t>
  </si>
  <si>
    <t>LAG</t>
  </si>
  <si>
    <t>POA</t>
  </si>
  <si>
    <t>SAU</t>
  </si>
  <si>
    <t>QUB</t>
  </si>
  <si>
    <t>PLS</t>
  </si>
  <si>
    <t>SDP</t>
  </si>
  <si>
    <t>GAR</t>
  </si>
  <si>
    <t>LEE</t>
  </si>
  <si>
    <t>NAU</t>
  </si>
  <si>
    <t>SFS</t>
  </si>
  <si>
    <t>STT</t>
  </si>
  <si>
    <t>BSF</t>
  </si>
  <si>
    <t>MOX</t>
  </si>
  <si>
    <t>TRI</t>
  </si>
  <si>
    <t>RMB</t>
  </si>
  <si>
    <t>QUL</t>
  </si>
  <si>
    <t>ALM</t>
  </si>
  <si>
    <t>CFW</t>
  </si>
  <si>
    <t>CNT</t>
  </si>
  <si>
    <t>DIY</t>
  </si>
  <si>
    <t>FLY</t>
  </si>
  <si>
    <t>GES</t>
  </si>
  <si>
    <t>MRW</t>
  </si>
  <si>
    <t>RMM</t>
  </si>
  <si>
    <t>RRU</t>
  </si>
  <si>
    <t>RUB</t>
  </si>
  <si>
    <t>RZV</t>
  </si>
  <si>
    <t>TRG</t>
  </si>
  <si>
    <t>USE</t>
  </si>
  <si>
    <t>YTL</t>
  </si>
  <si>
    <t>CVJ</t>
  </si>
  <si>
    <t>TCR</t>
  </si>
  <si>
    <t>TST</t>
  </si>
  <si>
    <t>HMM</t>
  </si>
  <si>
    <t>BEN</t>
  </si>
  <si>
    <t>YTC</t>
  </si>
  <si>
    <t>MAN</t>
  </si>
  <si>
    <t>BVP</t>
  </si>
  <si>
    <t>LGH</t>
  </si>
  <si>
    <t>KAW</t>
  </si>
  <si>
    <t>LOT</t>
  </si>
  <si>
    <t>LMO</t>
  </si>
  <si>
    <t>CWO</t>
  </si>
  <si>
    <t>BAZ</t>
  </si>
  <si>
    <t>RMT</t>
  </si>
  <si>
    <t>VAD</t>
  </si>
  <si>
    <t>COM</t>
  </si>
  <si>
    <t>RMO</t>
  </si>
  <si>
    <t>AWI</t>
  </si>
  <si>
    <t>TAL</t>
  </si>
  <si>
    <t>CBA</t>
  </si>
  <si>
    <t>Germany Democratic Rep.</t>
  </si>
  <si>
    <t>Japan (foreign obs.)</t>
  </si>
  <si>
    <t>Rumania</t>
  </si>
  <si>
    <t>EU-United Kingdom</t>
  </si>
  <si>
    <t>Layer3GearID</t>
  </si>
  <si>
    <t>GearGroupID</t>
  </si>
  <si>
    <t>GILLALB</t>
  </si>
  <si>
    <t>GILLSWO</t>
  </si>
  <si>
    <t>SPHL</t>
  </si>
  <si>
    <t>SPOR</t>
  </si>
  <si>
    <t>MWT</t>
  </si>
  <si>
    <t>MWTD</t>
  </si>
  <si>
    <t>TRBD</t>
  </si>
  <si>
    <t>TaxonKey</t>
  </si>
  <si>
    <t>SpeciesGroupID</t>
  </si>
  <si>
    <t>AMX</t>
  </si>
  <si>
    <t>CUT</t>
  </si>
  <si>
    <t>CVX</t>
  </si>
  <si>
    <t>CXX</t>
  </si>
  <si>
    <t>FRZ</t>
  </si>
  <si>
    <t>GNG</t>
  </si>
  <si>
    <t>MAC</t>
  </si>
  <si>
    <t>MAS</t>
  </si>
  <si>
    <t>MIX</t>
  </si>
  <si>
    <t>MOP</t>
  </si>
  <si>
    <t>PXX</t>
  </si>
  <si>
    <t>RHZ</t>
  </si>
  <si>
    <t>SMT</t>
  </si>
  <si>
    <t>TUX</t>
  </si>
  <si>
    <t>Thunnus alalunga</t>
  </si>
  <si>
    <t>Aluterus monoceros</t>
  </si>
  <si>
    <t>Unicorn leatherjacket filefish</t>
  </si>
  <si>
    <t>Rachycentron canadum</t>
  </si>
  <si>
    <t>Cobia</t>
  </si>
  <si>
    <t>Balistes punctatus</t>
  </si>
  <si>
    <t>Bluespotted triggerfish</t>
  </si>
  <si>
    <t>Coryphaena equiselis</t>
  </si>
  <si>
    <t>Canthidermis maculata</t>
  </si>
  <si>
    <t>Diodon hystrix</t>
  </si>
  <si>
    <t>Pompano dolphinfish</t>
  </si>
  <si>
    <t>Rough triggerfish</t>
  </si>
  <si>
    <t>Spot-fin porcupinefish</t>
  </si>
  <si>
    <t>Gempylus serpens</t>
  </si>
  <si>
    <t>Lagocephalus lagocephalus</t>
  </si>
  <si>
    <t>Mitsukurina owstoni</t>
  </si>
  <si>
    <t>Mobulidae</t>
  </si>
  <si>
    <t>Masturus lanceolatus</t>
  </si>
  <si>
    <t>Mobula mobular</t>
  </si>
  <si>
    <t>Mobula thurstoni</t>
  </si>
  <si>
    <t>Mobula tarapacana</t>
  </si>
  <si>
    <t>Ranzania laevis</t>
  </si>
  <si>
    <t>Taractichthys longipinnis</t>
  </si>
  <si>
    <t>Balistes carolinensis</t>
  </si>
  <si>
    <t>Campogramma glaycos</t>
  </si>
  <si>
    <t>shark</t>
  </si>
  <si>
    <t>tuna</t>
  </si>
  <si>
    <t>marlin, sailfishes</t>
  </si>
  <si>
    <t>marlin</t>
  </si>
  <si>
    <t>shortfin mako</t>
  </si>
  <si>
    <t>not species</t>
  </si>
  <si>
    <t>Marine fishes not identified</t>
  </si>
  <si>
    <t>Elasmobranchii</t>
  </si>
  <si>
    <t>Carcharhiniformes</t>
  </si>
  <si>
    <t>Squaliformes</t>
  </si>
  <si>
    <t>Lamnidae</t>
  </si>
  <si>
    <t>Scyliorhinidae</t>
  </si>
  <si>
    <t>Carcharhinidae</t>
  </si>
  <si>
    <t>Sphyrnidae</t>
  </si>
  <si>
    <t>Squalidae</t>
  </si>
  <si>
    <t>Squatinidae</t>
  </si>
  <si>
    <t>Dasyatidae</t>
  </si>
  <si>
    <t>Exocoetidae</t>
  </si>
  <si>
    <t>Belonidae</t>
  </si>
  <si>
    <t>Bramidae</t>
  </si>
  <si>
    <t>Sphyraenidae</t>
  </si>
  <si>
    <t>Trichiuridae</t>
  </si>
  <si>
    <t>Scombridae</t>
  </si>
  <si>
    <t>Istiophoridae</t>
  </si>
  <si>
    <t>Triakidae</t>
  </si>
  <si>
    <t>Squalus</t>
  </si>
  <si>
    <t>Mustelus</t>
  </si>
  <si>
    <t>Mola</t>
  </si>
  <si>
    <t>Scomberomorus</t>
  </si>
  <si>
    <t>Alopias</t>
  </si>
  <si>
    <t>Galeus</t>
  </si>
  <si>
    <t>Etmopterus</t>
  </si>
  <si>
    <t>Sphyrna</t>
  </si>
  <si>
    <t>Scyliorhinus</t>
  </si>
  <si>
    <t>Carcharhinus</t>
  </si>
  <si>
    <t>Seriola</t>
  </si>
  <si>
    <t>Auxis</t>
  </si>
  <si>
    <t>Thunnus</t>
  </si>
  <si>
    <t>Coryphaena hippurus</t>
  </si>
  <si>
    <t>Caranx hippos</t>
  </si>
  <si>
    <t>Istiophorus albicans</t>
  </si>
  <si>
    <t>Lamna nasus</t>
  </si>
  <si>
    <t>Acanthocybium solandri</t>
  </si>
  <si>
    <t>Cetorhinus maximus</t>
  </si>
  <si>
    <t>Allothunnus fallai</t>
  </si>
  <si>
    <t>Auxis rochei</t>
  </si>
  <si>
    <t>Auxis thazard</t>
  </si>
  <si>
    <t>Euthynnus affinis</t>
  </si>
  <si>
    <t>Euthynnus alletteratus</t>
  </si>
  <si>
    <t>Gasterochisma melampus</t>
  </si>
  <si>
    <t>Katsuwonus pelamis</t>
  </si>
  <si>
    <t>Orcynopsis unicolor</t>
  </si>
  <si>
    <t>Sarda sarda</t>
  </si>
  <si>
    <t>Scomber japonicus</t>
  </si>
  <si>
    <t>Scomber scombrus</t>
  </si>
  <si>
    <t>Scomberomorus brasiliensis</t>
  </si>
  <si>
    <t>Scomberomorus cavalla</t>
  </si>
  <si>
    <t>Scomberomorus commerson</t>
  </si>
  <si>
    <t>Scomberomorus maculatus</t>
  </si>
  <si>
    <t>Scomberomorus niphonius</t>
  </si>
  <si>
    <t>Scomberomorus regalis</t>
  </si>
  <si>
    <t>Somniosus microcephalus</t>
  </si>
  <si>
    <t>Squalus acanthias</t>
  </si>
  <si>
    <t>Scomberomorus tritor</t>
  </si>
  <si>
    <t>Thunnus albacares</t>
  </si>
  <si>
    <t>Thunnus atlanticus</t>
  </si>
  <si>
    <t>Thunnus maccoyii</t>
  </si>
  <si>
    <t>Thunnus obesus</t>
  </si>
  <si>
    <t>Thunnus thynnus</t>
  </si>
  <si>
    <t>Makaira nigricans</t>
  </si>
  <si>
    <t>Istiompax indica</t>
  </si>
  <si>
    <t>Kajikia albida</t>
  </si>
  <si>
    <t>Tetrapturus pfluegeri</t>
  </si>
  <si>
    <t>Kajikia audax</t>
  </si>
  <si>
    <t>Xiphias gladius</t>
  </si>
  <si>
    <t>Seriola lalandi</t>
  </si>
  <si>
    <t>Brama brama</t>
  </si>
  <si>
    <t>Elagatis bipinnulata</t>
  </si>
  <si>
    <t>Heptranchias perlo</t>
  </si>
  <si>
    <t>Hexanchus griseus</t>
  </si>
  <si>
    <t>Echinorhinus brucus</t>
  </si>
  <si>
    <t>Lepidopus caudatus</t>
  </si>
  <si>
    <t>Aphanopus carbo</t>
  </si>
  <si>
    <t>Centrophorus granulosus</t>
  </si>
  <si>
    <t>Centrophorus lusitanicus</t>
  </si>
  <si>
    <t>Centrophorus squamosus</t>
  </si>
  <si>
    <t>Centroscyllium fabricii</t>
  </si>
  <si>
    <t>Centroscymnus coelolepis</t>
  </si>
  <si>
    <t>Centroselachus crepidater</t>
  </si>
  <si>
    <t>Dalatias licha</t>
  </si>
  <si>
    <t>Deania calcea</t>
  </si>
  <si>
    <t>Etmopterus spinax</t>
  </si>
  <si>
    <t>Scymnodon ringens</t>
  </si>
  <si>
    <t>Somniosus rostratus</t>
  </si>
  <si>
    <t>Oxynotus centrina</t>
  </si>
  <si>
    <t>Oxynotus paradoxus</t>
  </si>
  <si>
    <t>Squatina squatina</t>
  </si>
  <si>
    <t>Carcharias taurus</t>
  </si>
  <si>
    <t>Carcharodon carcharias</t>
  </si>
  <si>
    <t>Isurus oxyrinchus</t>
  </si>
  <si>
    <t>Isurus paucus</t>
  </si>
  <si>
    <t>Galeus melastomus</t>
  </si>
  <si>
    <t>Scyliorhinus canicula</t>
  </si>
  <si>
    <t>Scyliorhinus stellaris</t>
  </si>
  <si>
    <t>Carcharhinus albimarginatus</t>
  </si>
  <si>
    <t>Carcharhinus brachyurus</t>
  </si>
  <si>
    <t>Carcharhinus falciformis</t>
  </si>
  <si>
    <t>Carcharhinus galapagensis</t>
  </si>
  <si>
    <t>Carcharhinus leucas</t>
  </si>
  <si>
    <t>Carcharhinus limbatus</t>
  </si>
  <si>
    <t>Carcharhinus longimanus</t>
  </si>
  <si>
    <t>Carcharhinus melanopterus</t>
  </si>
  <si>
    <t>Carcharhinus obscurus</t>
  </si>
  <si>
    <t>Carcharhinus plumbeus</t>
  </si>
  <si>
    <t>Carcharhinus porosus</t>
  </si>
  <si>
    <t>Galeocerdo cuvier</t>
  </si>
  <si>
    <t>Negaprion brevirostris</t>
  </si>
  <si>
    <t>Prionace glauca</t>
  </si>
  <si>
    <t>Rhizoprionodon terraenovae</t>
  </si>
  <si>
    <t>Sphyrna lewini</t>
  </si>
  <si>
    <t>Sphyrna mokarran</t>
  </si>
  <si>
    <t>Sphyrna tiburo</t>
  </si>
  <si>
    <t>Sphyrna zygaena</t>
  </si>
  <si>
    <t>Seriola dumerili</t>
  </si>
  <si>
    <t>Seriola rivoliana</t>
  </si>
  <si>
    <t>Uraspis secunda</t>
  </si>
  <si>
    <t>Lepidocybium flavobrunneum</t>
  </si>
  <si>
    <t>Ruvettus pretiosus</t>
  </si>
  <si>
    <t>Lampris guttatus</t>
  </si>
  <si>
    <t>Aluterus schoepfii</t>
  </si>
  <si>
    <t>Scomberesox saurus saurus</t>
  </si>
  <si>
    <t>Sphyraena barracuda</t>
  </si>
  <si>
    <t>Trachurus mediterraneus</t>
  </si>
  <si>
    <t>Tetrapturus belone</t>
  </si>
  <si>
    <t>Caranx crysos</t>
  </si>
  <si>
    <t>Manta birostris</t>
  </si>
  <si>
    <t>Rhincodon typus</t>
  </si>
  <si>
    <t>Notorynchus cepedianus</t>
  </si>
  <si>
    <t>Ginglymostoma cirratum</t>
  </si>
  <si>
    <t>Alopias superciliosus</t>
  </si>
  <si>
    <t>Alopias vulpinus</t>
  </si>
  <si>
    <t>Pseudotriakis microdon</t>
  </si>
  <si>
    <t>Mustelus henlei</t>
  </si>
  <si>
    <t>Taractichthys steindachneri</t>
  </si>
  <si>
    <t>Tetrapturus angustirostris</t>
  </si>
  <si>
    <t>Galeorhinus galeus</t>
  </si>
  <si>
    <t>Mustelus mustelus</t>
  </si>
  <si>
    <t>Alopias pelagicus</t>
  </si>
  <si>
    <t>Pseudocarcharias kamoharai</t>
  </si>
  <si>
    <t>Mustelus schmitti</t>
  </si>
  <si>
    <t>Mustelus asterias</t>
  </si>
  <si>
    <t>Key</t>
  </si>
  <si>
    <t>Scientific name</t>
  </si>
  <si>
    <t>Species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</si>
</sst>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7F6-C350-4F41-881A-DA62E3668FDC}">
  <dimension ref="A1:K122"/>
  <sheetViews>
    <sheetView topLeftCell="A94" workbookViewId="0">
      <selection activeCell="H129" sqref="H129"/>
    </sheetView>
  </sheetViews>
  <sheetFormatPr defaultRowHeight="15" x14ac:dyDescent="0.25"/>
  <cols>
    <col min="1" max="1" width="24.7109375" bestFit="1" customWidth="1"/>
    <col min="2" max="2" width="23.7109375" bestFit="1" customWidth="1"/>
    <col min="8" max="8" width="24.7109375" bestFit="1" customWidth="1"/>
    <col min="9" max="9" width="33" customWidth="1"/>
  </cols>
  <sheetData>
    <row r="1" spans="1:11" x14ac:dyDescent="0.25">
      <c r="A1" t="s">
        <v>141</v>
      </c>
      <c r="B1" t="str">
        <f>VLOOKUP(A1,I:J,1,FALSE)</f>
        <v>Albania</v>
      </c>
      <c r="I1" t="s">
        <v>141</v>
      </c>
      <c r="J1">
        <v>6</v>
      </c>
      <c r="K1">
        <v>1</v>
      </c>
    </row>
    <row r="2" spans="1:11" x14ac:dyDescent="0.25">
      <c r="A2" t="s">
        <v>48</v>
      </c>
      <c r="B2" t="str">
        <f>VLOOKUP(A2,I:J,1,FALSE)</f>
        <v>Algerie</v>
      </c>
      <c r="I2" t="s">
        <v>48</v>
      </c>
      <c r="J2">
        <v>1</v>
      </c>
      <c r="K2">
        <v>2</v>
      </c>
    </row>
    <row r="3" spans="1:11" x14ac:dyDescent="0.25">
      <c r="A3" t="s">
        <v>68</v>
      </c>
      <c r="B3" t="str">
        <f>VLOOKUP(A3,I:J,1,FALSE)</f>
        <v>Angola</v>
      </c>
      <c r="I3" t="s">
        <v>68</v>
      </c>
      <c r="J3">
        <v>1</v>
      </c>
      <c r="K3">
        <v>4</v>
      </c>
    </row>
    <row r="4" spans="1:11" x14ac:dyDescent="0.25">
      <c r="A4" t="s">
        <v>135</v>
      </c>
      <c r="B4" t="str">
        <f>VLOOKUP(A4,I:J,1,FALSE)</f>
        <v>Antigua and Barbuda</v>
      </c>
      <c r="I4" t="s">
        <v>135</v>
      </c>
      <c r="J4">
        <v>4</v>
      </c>
      <c r="K4">
        <v>5</v>
      </c>
    </row>
    <row r="5" spans="1:11" x14ac:dyDescent="0.25">
      <c r="A5" t="s">
        <v>49</v>
      </c>
      <c r="B5" t="str">
        <f>VLOOKUP(A5,I:J,1,FALSE)</f>
        <v>Argentina</v>
      </c>
      <c r="I5" t="s">
        <v>49</v>
      </c>
      <c r="J5">
        <v>11</v>
      </c>
      <c r="K5">
        <v>6</v>
      </c>
    </row>
    <row r="6" spans="1:11" x14ac:dyDescent="0.25">
      <c r="A6" t="s">
        <v>103</v>
      </c>
      <c r="B6" t="str">
        <f>VLOOKUP(A6,I:J,1,FALSE)</f>
        <v>Aruba</v>
      </c>
      <c r="I6" t="s">
        <v>103</v>
      </c>
      <c r="J6">
        <v>4</v>
      </c>
      <c r="K6">
        <v>120</v>
      </c>
    </row>
    <row r="7" spans="1:11" x14ac:dyDescent="0.25">
      <c r="A7" t="s">
        <v>95</v>
      </c>
      <c r="B7" t="str">
        <f>VLOOKUP(A7,I:J,1,FALSE)</f>
        <v>Barbados</v>
      </c>
      <c r="I7" t="s">
        <v>95</v>
      </c>
      <c r="J7">
        <v>4</v>
      </c>
      <c r="K7">
        <v>11</v>
      </c>
    </row>
    <row r="8" spans="1:11" x14ac:dyDescent="0.25">
      <c r="A8" t="s">
        <v>140</v>
      </c>
      <c r="B8" t="str">
        <f>VLOOKUP(A8,I:J,1,FALSE)</f>
        <v>Belize</v>
      </c>
      <c r="I8" t="s">
        <v>140</v>
      </c>
      <c r="J8">
        <v>7</v>
      </c>
      <c r="K8">
        <v>16</v>
      </c>
    </row>
    <row r="9" spans="1:11" x14ac:dyDescent="0.25">
      <c r="A9" t="s">
        <v>109</v>
      </c>
      <c r="B9" t="str">
        <f>VLOOKUP(A9,I:J,1,FALSE)</f>
        <v>Benin</v>
      </c>
      <c r="I9" t="s">
        <v>109</v>
      </c>
      <c r="J9">
        <v>1</v>
      </c>
      <c r="K9">
        <v>45</v>
      </c>
    </row>
    <row r="10" spans="1:11" x14ac:dyDescent="0.25">
      <c r="A10" t="s">
        <v>50</v>
      </c>
      <c r="B10" t="str">
        <f>VLOOKUP(A10,I:J,1,FALSE)</f>
        <v>Brazil</v>
      </c>
      <c r="I10" t="s">
        <v>50</v>
      </c>
      <c r="J10">
        <v>11</v>
      </c>
      <c r="K10">
        <v>15</v>
      </c>
    </row>
    <row r="11" spans="1:11" x14ac:dyDescent="0.25">
      <c r="A11" t="s">
        <v>147</v>
      </c>
      <c r="B11" t="str">
        <f>VLOOKUP(A11,I:J,1,FALSE)</f>
        <v>Cambodia</v>
      </c>
      <c r="I11" t="s">
        <v>147</v>
      </c>
      <c r="J11">
        <v>3</v>
      </c>
      <c r="K11">
        <v>24</v>
      </c>
    </row>
    <row r="12" spans="1:11" x14ac:dyDescent="0.25">
      <c r="A12" t="s">
        <v>116</v>
      </c>
      <c r="B12" t="str">
        <f>VLOOKUP(A12,I:J,1,FALSE)</f>
        <v>Cameroon</v>
      </c>
      <c r="I12" t="s">
        <v>116</v>
      </c>
      <c r="J12">
        <v>1</v>
      </c>
      <c r="K12">
        <v>25</v>
      </c>
    </row>
    <row r="13" spans="1:11" x14ac:dyDescent="0.25">
      <c r="A13" t="s">
        <v>51</v>
      </c>
      <c r="B13" t="str">
        <f>VLOOKUP(A13,I:J,1,FALSE)</f>
        <v>Canada</v>
      </c>
      <c r="I13" t="s">
        <v>51</v>
      </c>
      <c r="J13">
        <v>8</v>
      </c>
      <c r="K13">
        <v>26</v>
      </c>
    </row>
    <row r="14" spans="1:11" x14ac:dyDescent="0.25">
      <c r="A14" t="s">
        <v>97</v>
      </c>
      <c r="B14" t="str">
        <f>VLOOKUP(A14,I:J,1,FALSE)</f>
        <v>Cape Verde</v>
      </c>
      <c r="I14" t="s">
        <v>97</v>
      </c>
      <c r="J14">
        <v>1</v>
      </c>
      <c r="K14">
        <v>27</v>
      </c>
    </row>
    <row r="15" spans="1:11" x14ac:dyDescent="0.25">
      <c r="A15" t="s">
        <v>111</v>
      </c>
      <c r="B15" t="str">
        <f>VLOOKUP(A15,I:J,1,FALSE)</f>
        <v>Cayman Islands</v>
      </c>
      <c r="I15" t="s">
        <v>111</v>
      </c>
      <c r="J15">
        <v>4</v>
      </c>
      <c r="K15">
        <v>28</v>
      </c>
    </row>
    <row r="16" spans="1:11" x14ac:dyDescent="0.25">
      <c r="A16" t="s">
        <v>154</v>
      </c>
      <c r="B16" t="str">
        <f>VLOOKUP(A16,I:J,1,FALSE)</f>
        <v>Chile</v>
      </c>
      <c r="I16" t="s">
        <v>154</v>
      </c>
      <c r="J16">
        <v>11</v>
      </c>
      <c r="K16">
        <v>30</v>
      </c>
    </row>
    <row r="17" spans="1:11" x14ac:dyDescent="0.25">
      <c r="A17" t="s">
        <v>136</v>
      </c>
      <c r="B17" t="str">
        <f>VLOOKUP(A17,I:J,1,FALSE)</f>
        <v>China PR</v>
      </c>
      <c r="I17" t="s">
        <v>136</v>
      </c>
      <c r="J17">
        <v>5</v>
      </c>
      <c r="K17">
        <v>31</v>
      </c>
    </row>
    <row r="18" spans="1:11" x14ac:dyDescent="0.25">
      <c r="A18" t="s">
        <v>75</v>
      </c>
      <c r="B18" t="str">
        <f>VLOOKUP(A18,I:J,1,FALSE)</f>
        <v>Chinese Taipei</v>
      </c>
      <c r="I18" t="s">
        <v>75</v>
      </c>
      <c r="J18">
        <v>5</v>
      </c>
      <c r="K18">
        <v>32</v>
      </c>
    </row>
    <row r="19" spans="1:11" x14ac:dyDescent="0.25">
      <c r="A19" t="s">
        <v>94</v>
      </c>
      <c r="B19" t="str">
        <f>VLOOKUP(A19,I:J,1,FALSE)</f>
        <v>Colombia</v>
      </c>
      <c r="I19" t="s">
        <v>94</v>
      </c>
      <c r="J19">
        <v>11</v>
      </c>
      <c r="K19">
        <v>35</v>
      </c>
    </row>
    <row r="20" spans="1:11" x14ac:dyDescent="0.25">
      <c r="A20" t="s">
        <v>110</v>
      </c>
      <c r="B20" t="str">
        <f>VLOOKUP(A20,I:J,1,FALSE)</f>
        <v>Congo</v>
      </c>
      <c r="I20" t="s">
        <v>110</v>
      </c>
      <c r="J20">
        <v>1</v>
      </c>
      <c r="K20">
        <v>38</v>
      </c>
    </row>
    <row r="21" spans="1:11" x14ac:dyDescent="0.25">
      <c r="A21" t="s">
        <v>137</v>
      </c>
      <c r="B21" t="str">
        <f>VLOOKUP(A21,I:J,1,FALSE)</f>
        <v>Costa Rica</v>
      </c>
      <c r="I21" t="s">
        <v>137</v>
      </c>
      <c r="J21">
        <v>11</v>
      </c>
      <c r="K21">
        <v>41</v>
      </c>
    </row>
    <row r="22" spans="1:11" x14ac:dyDescent="0.25">
      <c r="A22" t="s">
        <v>90</v>
      </c>
      <c r="B22" t="str">
        <f>VLOOKUP(A22,I:J,1,FALSE)</f>
        <v>Côte d'Ivoire</v>
      </c>
      <c r="I22" t="s">
        <v>90</v>
      </c>
      <c r="J22">
        <v>1</v>
      </c>
      <c r="K22">
        <v>89</v>
      </c>
    </row>
    <row r="23" spans="1:11" x14ac:dyDescent="0.25">
      <c r="A23" t="s">
        <v>52</v>
      </c>
      <c r="B23" t="str">
        <f>VLOOKUP(A23,I:J,1,FALSE)</f>
        <v>Cuba</v>
      </c>
      <c r="I23" t="s">
        <v>52</v>
      </c>
      <c r="J23">
        <v>4</v>
      </c>
      <c r="K23">
        <v>43</v>
      </c>
    </row>
    <row r="24" spans="1:11" x14ac:dyDescent="0.25">
      <c r="A24" t="s">
        <v>99</v>
      </c>
      <c r="B24" t="str">
        <f>VLOOKUP(A24,I:J,1,FALSE)</f>
        <v>Curaçao</v>
      </c>
      <c r="I24" t="s">
        <v>99</v>
      </c>
      <c r="J24">
        <v>4</v>
      </c>
      <c r="K24">
        <v>214</v>
      </c>
    </row>
    <row r="25" spans="1:11" x14ac:dyDescent="0.25">
      <c r="A25" t="s">
        <v>122</v>
      </c>
      <c r="B25" t="str">
        <f>VLOOKUP(A25,I:J,1,FALSE)</f>
        <v>Dominica</v>
      </c>
      <c r="I25" t="s">
        <v>122</v>
      </c>
      <c r="J25">
        <v>4</v>
      </c>
      <c r="K25">
        <v>47</v>
      </c>
    </row>
    <row r="26" spans="1:11" x14ac:dyDescent="0.25">
      <c r="A26" t="s">
        <v>82</v>
      </c>
      <c r="B26" t="str">
        <f>VLOOKUP(A26,I:J,1,FALSE)</f>
        <v>Dominican Republic</v>
      </c>
      <c r="I26" t="s">
        <v>82</v>
      </c>
      <c r="J26">
        <v>4</v>
      </c>
      <c r="K26">
        <v>48</v>
      </c>
    </row>
    <row r="27" spans="1:11" x14ac:dyDescent="0.25">
      <c r="A27" t="s">
        <v>92</v>
      </c>
      <c r="B27" t="str">
        <f>VLOOKUP(A27,I:J,1,FALSE)</f>
        <v>Egypt</v>
      </c>
      <c r="I27" t="s">
        <v>92</v>
      </c>
      <c r="J27">
        <v>1</v>
      </c>
      <c r="K27">
        <v>182</v>
      </c>
    </row>
    <row r="28" spans="1:11" x14ac:dyDescent="0.25">
      <c r="A28" t="s">
        <v>158</v>
      </c>
      <c r="B28" t="str">
        <f>VLOOKUP(A28,I:J,1,FALSE)</f>
        <v>El Salvador</v>
      </c>
      <c r="I28" t="s">
        <v>158</v>
      </c>
      <c r="J28">
        <v>11</v>
      </c>
      <c r="K28">
        <v>184</v>
      </c>
    </row>
    <row r="29" spans="1:11" x14ac:dyDescent="0.25">
      <c r="A29" t="s">
        <v>70</v>
      </c>
      <c r="B29" t="str">
        <f>VLOOKUP(A29,I:J,1,FALSE)</f>
        <v>EU-Bulgaria</v>
      </c>
      <c r="H29" t="s">
        <v>70</v>
      </c>
      <c r="I29" t="s">
        <v>70</v>
      </c>
      <c r="J29">
        <v>6</v>
      </c>
      <c r="K29">
        <v>21</v>
      </c>
    </row>
    <row r="30" spans="1:11" x14ac:dyDescent="0.25">
      <c r="A30" t="s">
        <v>129</v>
      </c>
      <c r="B30" t="str">
        <f>VLOOKUP(A30,I:J,1,FALSE)</f>
        <v>EU-Croatia</v>
      </c>
      <c r="H30" t="s">
        <v>129</v>
      </c>
      <c r="I30" t="s">
        <v>129</v>
      </c>
      <c r="J30">
        <v>6</v>
      </c>
      <c r="K30">
        <v>42</v>
      </c>
    </row>
    <row r="31" spans="1:11" x14ac:dyDescent="0.25">
      <c r="A31" t="s">
        <v>83</v>
      </c>
      <c r="B31" t="str">
        <f>VLOOKUP(A31,I:J,1,FALSE)</f>
        <v>EU-Cyprus</v>
      </c>
      <c r="H31" t="s">
        <v>83</v>
      </c>
      <c r="I31" t="s">
        <v>83</v>
      </c>
      <c r="J31">
        <v>7</v>
      </c>
      <c r="K31">
        <v>208</v>
      </c>
    </row>
    <row r="32" spans="1:11" x14ac:dyDescent="0.25">
      <c r="A32" t="s">
        <v>127</v>
      </c>
      <c r="B32" t="str">
        <f>VLOOKUP(A32,I:J,1,FALSE)</f>
        <v>EU-Denmark</v>
      </c>
      <c r="H32" t="s">
        <v>127</v>
      </c>
      <c r="I32" t="s">
        <v>127</v>
      </c>
      <c r="J32">
        <v>13</v>
      </c>
      <c r="K32">
        <v>46</v>
      </c>
    </row>
    <row r="33" spans="1:11" x14ac:dyDescent="0.25">
      <c r="A33" t="s">
        <v>61</v>
      </c>
      <c r="B33" t="str">
        <f>VLOOKUP(A33,I:J,1,FALSE)</f>
        <v>EU-España</v>
      </c>
      <c r="H33" t="s">
        <v>61</v>
      </c>
      <c r="I33" t="s">
        <v>61</v>
      </c>
      <c r="J33">
        <v>13</v>
      </c>
      <c r="K33">
        <v>165</v>
      </c>
    </row>
    <row r="34" spans="1:11" x14ac:dyDescent="0.25">
      <c r="A34" t="s">
        <v>123</v>
      </c>
      <c r="B34" t="str">
        <f>VLOOKUP(A34,I:J,1,FALSE)</f>
        <v>EU-Estonia</v>
      </c>
      <c r="H34" t="s">
        <v>123</v>
      </c>
      <c r="I34" t="s">
        <v>123</v>
      </c>
      <c r="J34">
        <v>13</v>
      </c>
      <c r="K34">
        <v>53</v>
      </c>
    </row>
    <row r="35" spans="1:11" x14ac:dyDescent="0.25">
      <c r="A35" t="s">
        <v>53</v>
      </c>
      <c r="B35" t="str">
        <f>VLOOKUP(A35,I:J,1,FALSE)</f>
        <v>EU-France</v>
      </c>
      <c r="H35" t="s">
        <v>53</v>
      </c>
      <c r="I35" t="s">
        <v>53</v>
      </c>
      <c r="J35">
        <v>13</v>
      </c>
      <c r="K35">
        <v>58</v>
      </c>
    </row>
    <row r="36" spans="1:11" x14ac:dyDescent="0.25">
      <c r="A36" t="s">
        <v>76</v>
      </c>
      <c r="B36" t="str">
        <f>VLOOKUP(A36,I:J,1,FALSE)</f>
        <v>EU-Germany</v>
      </c>
      <c r="H36" t="s">
        <v>76</v>
      </c>
      <c r="I36" t="s">
        <v>76</v>
      </c>
      <c r="J36">
        <v>13</v>
      </c>
      <c r="K36">
        <v>66</v>
      </c>
    </row>
    <row r="37" spans="1:11" x14ac:dyDescent="0.25">
      <c r="A37" t="s">
        <v>54</v>
      </c>
      <c r="B37" t="str">
        <f>VLOOKUP(A37,I:J,1,FALSE)</f>
        <v>EU-Greece</v>
      </c>
      <c r="H37" t="s">
        <v>54</v>
      </c>
      <c r="I37" t="s">
        <v>54</v>
      </c>
      <c r="J37">
        <v>6</v>
      </c>
      <c r="K37">
        <v>70</v>
      </c>
    </row>
    <row r="38" spans="1:11" x14ac:dyDescent="0.25">
      <c r="A38" t="s">
        <v>105</v>
      </c>
      <c r="B38" t="str">
        <f>VLOOKUP(A38,I:J,1,FALSE)</f>
        <v>EU-Ireland</v>
      </c>
      <c r="H38" t="s">
        <v>105</v>
      </c>
      <c r="I38" t="s">
        <v>105</v>
      </c>
      <c r="J38">
        <v>13</v>
      </c>
      <c r="K38">
        <v>86</v>
      </c>
    </row>
    <row r="39" spans="1:11" x14ac:dyDescent="0.25">
      <c r="A39" t="s">
        <v>55</v>
      </c>
      <c r="B39" t="str">
        <f>VLOOKUP(A39,I:J,1,FALSE)</f>
        <v>EU-Italy</v>
      </c>
      <c r="H39" t="s">
        <v>55</v>
      </c>
      <c r="I39" t="s">
        <v>55</v>
      </c>
      <c r="J39">
        <v>13</v>
      </c>
      <c r="K39">
        <v>88</v>
      </c>
    </row>
    <row r="40" spans="1:11" x14ac:dyDescent="0.25">
      <c r="A40" t="s">
        <v>125</v>
      </c>
      <c r="B40" t="str">
        <f>VLOOKUP(A40,I:J,1,FALSE)</f>
        <v>EU-Latvia</v>
      </c>
      <c r="H40" t="s">
        <v>125</v>
      </c>
      <c r="I40" t="s">
        <v>125</v>
      </c>
      <c r="J40">
        <v>13</v>
      </c>
      <c r="K40">
        <v>98</v>
      </c>
    </row>
    <row r="41" spans="1:11" x14ac:dyDescent="0.25">
      <c r="A41" t="s">
        <v>126</v>
      </c>
      <c r="B41" t="str">
        <f>VLOOKUP(A41,I:J,1,FALSE)</f>
        <v>EU-Lithuania</v>
      </c>
      <c r="H41" t="s">
        <v>126</v>
      </c>
      <c r="I41" t="s">
        <v>126</v>
      </c>
      <c r="J41">
        <v>13</v>
      </c>
      <c r="K41">
        <v>101</v>
      </c>
    </row>
    <row r="42" spans="1:11" x14ac:dyDescent="0.25">
      <c r="A42" t="s">
        <v>57</v>
      </c>
      <c r="B42" t="str">
        <f>VLOOKUP(A42,I:J,1,FALSE)</f>
        <v>EU-Malta</v>
      </c>
      <c r="H42" t="s">
        <v>57</v>
      </c>
      <c r="I42" t="s">
        <v>57</v>
      </c>
      <c r="J42">
        <v>7</v>
      </c>
      <c r="K42">
        <v>106</v>
      </c>
    </row>
    <row r="43" spans="1:11" x14ac:dyDescent="0.25">
      <c r="A43" t="s">
        <v>114</v>
      </c>
      <c r="B43" t="str">
        <f>VLOOKUP(A43,I:J,1,FALSE)</f>
        <v>EU-Netherlands</v>
      </c>
      <c r="H43" t="s">
        <v>114</v>
      </c>
      <c r="I43" t="s">
        <v>114</v>
      </c>
      <c r="J43">
        <v>13</v>
      </c>
      <c r="K43">
        <v>118</v>
      </c>
    </row>
    <row r="44" spans="1:11" x14ac:dyDescent="0.25">
      <c r="A44" t="s">
        <v>104</v>
      </c>
      <c r="B44" t="str">
        <f>VLOOKUP(A44,I:J,1,FALSE)</f>
        <v>EU-Poland</v>
      </c>
      <c r="H44" t="s">
        <v>104</v>
      </c>
      <c r="I44" t="s">
        <v>104</v>
      </c>
      <c r="J44">
        <v>13</v>
      </c>
      <c r="K44">
        <v>140</v>
      </c>
    </row>
    <row r="45" spans="1:11" x14ac:dyDescent="0.25">
      <c r="A45" t="s">
        <v>59</v>
      </c>
      <c r="B45" t="str">
        <f>VLOOKUP(A45,I:J,1,FALSE)</f>
        <v>EU-Portugal</v>
      </c>
      <c r="H45" t="s">
        <v>59</v>
      </c>
      <c r="I45" t="s">
        <v>59</v>
      </c>
      <c r="J45">
        <v>13</v>
      </c>
      <c r="K45">
        <v>141</v>
      </c>
    </row>
    <row r="46" spans="1:11" x14ac:dyDescent="0.25">
      <c r="A46" t="s">
        <v>87</v>
      </c>
      <c r="B46" t="str">
        <f>VLOOKUP(A46,I:J,1,FALSE)</f>
        <v>EU-Rumania</v>
      </c>
      <c r="H46" t="s">
        <v>87</v>
      </c>
      <c r="I46" t="s">
        <v>87</v>
      </c>
      <c r="J46">
        <v>6</v>
      </c>
      <c r="K46">
        <v>147</v>
      </c>
    </row>
    <row r="47" spans="1:11" x14ac:dyDescent="0.25">
      <c r="A47" t="s">
        <v>77</v>
      </c>
      <c r="B47" t="str">
        <f>VLOOKUP(A47,I:J,1,FALSE)</f>
        <v>EU-Sweden</v>
      </c>
      <c r="H47" t="s">
        <v>77</v>
      </c>
      <c r="I47" t="s">
        <v>77</v>
      </c>
      <c r="J47">
        <v>13</v>
      </c>
      <c r="K47">
        <v>169</v>
      </c>
    </row>
    <row r="48" spans="1:11" x14ac:dyDescent="0.25">
      <c r="A48" t="s">
        <v>148</v>
      </c>
      <c r="B48" t="str">
        <f>VLOOKUP(A48,I:J,1,FALSE)</f>
        <v>Falklands</v>
      </c>
      <c r="H48" t="s">
        <v>349</v>
      </c>
      <c r="I48" t="s">
        <v>349</v>
      </c>
      <c r="J48">
        <v>13</v>
      </c>
      <c r="K48">
        <v>183</v>
      </c>
    </row>
    <row r="49" spans="1:11" x14ac:dyDescent="0.25">
      <c r="A49" t="s">
        <v>145</v>
      </c>
      <c r="B49" t="str">
        <f>VLOOKUP(A49,I:J,1,FALSE)</f>
        <v>Faroe Islands</v>
      </c>
      <c r="I49" t="s">
        <v>148</v>
      </c>
      <c r="J49">
        <v>11</v>
      </c>
      <c r="K49">
        <v>55</v>
      </c>
    </row>
    <row r="50" spans="1:11" x14ac:dyDescent="0.25">
      <c r="A50" t="s">
        <v>149</v>
      </c>
      <c r="B50" t="str">
        <f>VLOOKUP(A50,I:J,1,FALSE)</f>
        <v>FR-St Pierre et Miquelon</v>
      </c>
      <c r="I50" t="s">
        <v>145</v>
      </c>
      <c r="J50">
        <v>13</v>
      </c>
      <c r="K50">
        <v>54</v>
      </c>
    </row>
    <row r="51" spans="1:11" x14ac:dyDescent="0.25">
      <c r="A51" t="s">
        <v>134</v>
      </c>
      <c r="B51" t="str">
        <f>VLOOKUP(A51,I:J,1,FALSE)</f>
        <v>Gabon</v>
      </c>
      <c r="H51" t="s">
        <v>149</v>
      </c>
      <c r="I51" t="s">
        <v>149</v>
      </c>
      <c r="J51">
        <v>8</v>
      </c>
      <c r="K51">
        <v>153</v>
      </c>
    </row>
    <row r="52" spans="1:11" x14ac:dyDescent="0.25">
      <c r="A52" t="s">
        <v>128</v>
      </c>
      <c r="B52" t="str">
        <f>VLOOKUP(A52,I:J,1,FALSE)</f>
        <v>Gambia</v>
      </c>
      <c r="I52" t="s">
        <v>134</v>
      </c>
      <c r="J52">
        <v>1</v>
      </c>
      <c r="K52">
        <v>62</v>
      </c>
    </row>
    <row r="53" spans="1:11" x14ac:dyDescent="0.25">
      <c r="A53" t="s">
        <v>124</v>
      </c>
      <c r="B53" t="str">
        <f>VLOOKUP(A53,I:J,1,FALSE)</f>
        <v>Georgia</v>
      </c>
      <c r="I53" t="s">
        <v>128</v>
      </c>
      <c r="J53">
        <v>1</v>
      </c>
      <c r="K53">
        <v>64</v>
      </c>
    </row>
    <row r="54" spans="1:11" x14ac:dyDescent="0.25">
      <c r="A54" t="s">
        <v>84</v>
      </c>
      <c r="B54" t="str">
        <f>VLOOKUP(A54,I:J,1,FALSE)</f>
        <v>Germany Democratic Rep</v>
      </c>
      <c r="I54" t="s">
        <v>124</v>
      </c>
      <c r="J54">
        <v>3</v>
      </c>
      <c r="K54">
        <v>63</v>
      </c>
    </row>
    <row r="55" spans="1:11" x14ac:dyDescent="0.25">
      <c r="A55" t="s">
        <v>65</v>
      </c>
      <c r="B55" t="str">
        <f>VLOOKUP(A55,I:J,1,FALSE)</f>
        <v>Ghana</v>
      </c>
      <c r="I55" t="s">
        <v>84</v>
      </c>
      <c r="J55">
        <v>13</v>
      </c>
      <c r="K55">
        <v>66</v>
      </c>
    </row>
    <row r="56" spans="1:11" x14ac:dyDescent="0.25">
      <c r="A56" t="s">
        <v>165</v>
      </c>
      <c r="B56" t="str">
        <f>VLOOKUP(A56,I:J,1,FALSE)</f>
        <v>Gibraltar</v>
      </c>
      <c r="I56" t="s">
        <v>346</v>
      </c>
      <c r="J56">
        <v>13</v>
      </c>
      <c r="K56">
        <v>66</v>
      </c>
    </row>
    <row r="57" spans="1:11" x14ac:dyDescent="0.25">
      <c r="A57" t="s">
        <v>133</v>
      </c>
      <c r="B57" t="str">
        <f>VLOOKUP(A57,I:J,1,FALSE)</f>
        <v>Great Britain</v>
      </c>
      <c r="I57" t="s">
        <v>65</v>
      </c>
      <c r="J57">
        <v>1</v>
      </c>
      <c r="K57">
        <v>67</v>
      </c>
    </row>
    <row r="58" spans="1:11" x14ac:dyDescent="0.25">
      <c r="A58" t="s">
        <v>78</v>
      </c>
      <c r="B58" t="str">
        <f>VLOOKUP(A58,I:J,1,FALSE)</f>
        <v>Grenada</v>
      </c>
      <c r="I58" t="s">
        <v>78</v>
      </c>
      <c r="J58">
        <v>4</v>
      </c>
      <c r="K58">
        <v>72</v>
      </c>
    </row>
    <row r="59" spans="1:11" x14ac:dyDescent="0.25">
      <c r="A59" t="s">
        <v>159</v>
      </c>
      <c r="B59" t="str">
        <f>VLOOKUP(A59,I:J,1,FALSE)</f>
        <v>Guatemala</v>
      </c>
      <c r="I59" t="s">
        <v>159</v>
      </c>
      <c r="J59">
        <v>11</v>
      </c>
      <c r="K59">
        <v>75</v>
      </c>
    </row>
    <row r="60" spans="1:11" x14ac:dyDescent="0.25">
      <c r="A60" t="s">
        <v>118</v>
      </c>
      <c r="B60" t="str">
        <f>VLOOKUP(A60,I:J,1,FALSE)</f>
        <v>Guinea Bissau</v>
      </c>
      <c r="I60" t="s">
        <v>118</v>
      </c>
      <c r="J60">
        <v>1</v>
      </c>
      <c r="K60">
        <v>142</v>
      </c>
    </row>
    <row r="61" spans="1:11" x14ac:dyDescent="0.25">
      <c r="A61" t="s">
        <v>101</v>
      </c>
      <c r="B61" t="str">
        <f>VLOOKUP(A61,I:J,1,FALSE)</f>
        <v>Guinea Ecuatorial</v>
      </c>
      <c r="I61" t="s">
        <v>101</v>
      </c>
      <c r="J61">
        <v>1</v>
      </c>
      <c r="K61">
        <v>51</v>
      </c>
    </row>
    <row r="62" spans="1:11" x14ac:dyDescent="0.25">
      <c r="A62" t="s">
        <v>151</v>
      </c>
      <c r="B62" t="str">
        <f>VLOOKUP(A62,I:J,1,FALSE)</f>
        <v>Guinée Rep</v>
      </c>
      <c r="H62" t="s">
        <v>151</v>
      </c>
      <c r="I62" t="s">
        <v>151</v>
      </c>
      <c r="J62">
        <v>1</v>
      </c>
      <c r="K62">
        <v>76</v>
      </c>
    </row>
    <row r="63" spans="1:11" x14ac:dyDescent="0.25">
      <c r="A63" t="s">
        <v>143</v>
      </c>
      <c r="B63" t="str">
        <f>VLOOKUP(A63,I:J,1,FALSE)</f>
        <v>Guyana</v>
      </c>
      <c r="I63" t="s">
        <v>143</v>
      </c>
      <c r="J63">
        <v>11</v>
      </c>
      <c r="K63">
        <v>77</v>
      </c>
    </row>
    <row r="64" spans="1:11" x14ac:dyDescent="0.25">
      <c r="A64" t="s">
        <v>139</v>
      </c>
      <c r="B64" t="str">
        <f>VLOOKUP(A64,I:J,1,FALSE)</f>
        <v>Honduras</v>
      </c>
      <c r="I64" t="s">
        <v>139</v>
      </c>
      <c r="J64">
        <v>11</v>
      </c>
      <c r="K64">
        <v>79</v>
      </c>
    </row>
    <row r="65" spans="1:11" x14ac:dyDescent="0.25">
      <c r="A65" t="s">
        <v>163</v>
      </c>
      <c r="B65" t="str">
        <f>VLOOKUP(A65,I:J,1,FALSE)</f>
        <v>ICCAT (RMA)</v>
      </c>
      <c r="I65" t="s">
        <v>163</v>
      </c>
      <c r="J65">
        <v>2</v>
      </c>
      <c r="K65">
        <v>1000</v>
      </c>
    </row>
    <row r="66" spans="1:11" x14ac:dyDescent="0.25">
      <c r="A66" t="s">
        <v>144</v>
      </c>
      <c r="B66" t="str">
        <f>VLOOKUP(A66,I:J,1,FALSE)</f>
        <v>Iceland</v>
      </c>
      <c r="I66" t="s">
        <v>144</v>
      </c>
      <c r="J66">
        <v>13</v>
      </c>
      <c r="K66">
        <v>81</v>
      </c>
    </row>
    <row r="67" spans="1:11" x14ac:dyDescent="0.25">
      <c r="A67" t="s">
        <v>69</v>
      </c>
      <c r="B67" t="str">
        <f>VLOOKUP(A67,I:J,1,FALSE)</f>
        <v>Israel</v>
      </c>
      <c r="I67" t="s">
        <v>69</v>
      </c>
      <c r="J67">
        <v>3</v>
      </c>
      <c r="K67">
        <v>87</v>
      </c>
    </row>
    <row r="68" spans="1:11" x14ac:dyDescent="0.25">
      <c r="A68" t="s">
        <v>142</v>
      </c>
      <c r="B68" t="str">
        <f>VLOOKUP(A68,I:J,1,FALSE)</f>
        <v>Jamaica</v>
      </c>
      <c r="I68" t="s">
        <v>142</v>
      </c>
      <c r="J68">
        <v>4</v>
      </c>
      <c r="K68">
        <v>90</v>
      </c>
    </row>
    <row r="69" spans="1:11" x14ac:dyDescent="0.25">
      <c r="A69" t="s">
        <v>71</v>
      </c>
      <c r="B69" t="str">
        <f>VLOOKUP(A69,I:J,1,FALSE)</f>
        <v>Japan</v>
      </c>
      <c r="I69" t="s">
        <v>71</v>
      </c>
      <c r="J69">
        <v>5</v>
      </c>
      <c r="K69">
        <v>91</v>
      </c>
    </row>
    <row r="70" spans="1:11" x14ac:dyDescent="0.25">
      <c r="A70" t="s">
        <v>80</v>
      </c>
      <c r="B70" t="str">
        <f>VLOOKUP(A70,I:J,1,FALSE)</f>
        <v>Korea Rep</v>
      </c>
      <c r="I70" t="s">
        <v>347</v>
      </c>
      <c r="J70">
        <v>5</v>
      </c>
      <c r="K70">
        <v>91</v>
      </c>
    </row>
    <row r="71" spans="1:11" x14ac:dyDescent="0.25">
      <c r="A71" t="s">
        <v>73</v>
      </c>
      <c r="B71" t="str">
        <f>VLOOKUP(A71,I:J,1,FALSE)</f>
        <v>Lebanon</v>
      </c>
      <c r="H71" t="s">
        <v>80</v>
      </c>
      <c r="I71" t="s">
        <v>80</v>
      </c>
      <c r="J71">
        <v>5</v>
      </c>
      <c r="K71">
        <v>95</v>
      </c>
    </row>
    <row r="72" spans="1:11" x14ac:dyDescent="0.25">
      <c r="A72" t="s">
        <v>91</v>
      </c>
      <c r="B72" t="str">
        <f>VLOOKUP(A72,I:J,1,FALSE)</f>
        <v>Liberia</v>
      </c>
      <c r="I72" t="s">
        <v>73</v>
      </c>
      <c r="J72">
        <v>3</v>
      </c>
      <c r="K72">
        <v>97</v>
      </c>
    </row>
    <row r="73" spans="1:11" x14ac:dyDescent="0.25">
      <c r="A73" t="s">
        <v>56</v>
      </c>
      <c r="B73" t="str">
        <f>VLOOKUP(A73,I:J,1,FALSE)</f>
        <v>Libya</v>
      </c>
      <c r="I73" t="s">
        <v>91</v>
      </c>
      <c r="J73">
        <v>1</v>
      </c>
      <c r="K73">
        <v>99</v>
      </c>
    </row>
    <row r="74" spans="1:11" x14ac:dyDescent="0.25">
      <c r="A74" t="s">
        <v>58</v>
      </c>
      <c r="B74" t="str">
        <f>VLOOKUP(A74,I:J,1,FALSE)</f>
        <v>Maroc</v>
      </c>
      <c r="I74" t="s">
        <v>56</v>
      </c>
      <c r="J74">
        <v>1</v>
      </c>
      <c r="K74">
        <v>100</v>
      </c>
    </row>
    <row r="75" spans="1:11" x14ac:dyDescent="0.25">
      <c r="A75" t="s">
        <v>102</v>
      </c>
      <c r="B75" t="str">
        <f>VLOOKUP(A75,I:J,1,FALSE)</f>
        <v>Mauritania</v>
      </c>
      <c r="I75" t="s">
        <v>58</v>
      </c>
      <c r="J75">
        <v>1</v>
      </c>
      <c r="K75">
        <v>113</v>
      </c>
    </row>
    <row r="76" spans="1:11" x14ac:dyDescent="0.25">
      <c r="A76" t="s">
        <v>67</v>
      </c>
      <c r="B76" t="str">
        <f>VLOOKUP(A76,I:J,1,FALSE)</f>
        <v>Mexico</v>
      </c>
      <c r="I76" t="s">
        <v>102</v>
      </c>
      <c r="J76">
        <v>1</v>
      </c>
      <c r="K76">
        <v>108</v>
      </c>
    </row>
    <row r="77" spans="1:11" x14ac:dyDescent="0.25">
      <c r="A77" t="s">
        <v>160</v>
      </c>
      <c r="B77" t="str">
        <f>VLOOKUP(A77,I:J,1,FALSE)</f>
        <v>Mixed flags (EU tropical)</v>
      </c>
      <c r="I77" t="s">
        <v>67</v>
      </c>
      <c r="J77">
        <v>8</v>
      </c>
      <c r="K77">
        <v>110</v>
      </c>
    </row>
    <row r="78" spans="1:11" x14ac:dyDescent="0.25">
      <c r="A78" t="s">
        <v>79</v>
      </c>
      <c r="B78" t="str">
        <f>VLOOKUP(A78,I:J,1,FALSE)</f>
        <v>Mixed flags (FR+ES)</v>
      </c>
      <c r="I78" t="s">
        <v>160</v>
      </c>
      <c r="J78">
        <v>2</v>
      </c>
      <c r="K78">
        <v>1000</v>
      </c>
    </row>
    <row r="79" spans="1:11" x14ac:dyDescent="0.25">
      <c r="A79" t="s">
        <v>138</v>
      </c>
      <c r="B79" t="str">
        <f>VLOOKUP(A79,I:J,1,FALSE)</f>
        <v>Namibia</v>
      </c>
      <c r="I79" t="s">
        <v>79</v>
      </c>
      <c r="J79">
        <v>13</v>
      </c>
      <c r="K79">
        <v>3000</v>
      </c>
    </row>
    <row r="80" spans="1:11" x14ac:dyDescent="0.25">
      <c r="A80" t="s">
        <v>161</v>
      </c>
      <c r="B80" t="str">
        <f>VLOOKUP(A80,I:J,1,FALSE)</f>
        <v>NEI (BIL)</v>
      </c>
      <c r="I80" t="s">
        <v>138</v>
      </c>
      <c r="J80">
        <v>1</v>
      </c>
      <c r="K80">
        <v>116</v>
      </c>
    </row>
    <row r="81" spans="1:11" x14ac:dyDescent="0.25">
      <c r="A81" t="s">
        <v>117</v>
      </c>
      <c r="B81" t="str">
        <f>VLOOKUP(A81,I:J,1,FALSE)</f>
        <v>NEI (combined)</v>
      </c>
      <c r="I81" t="s">
        <v>161</v>
      </c>
      <c r="J81">
        <v>2</v>
      </c>
      <c r="K81">
        <v>1000</v>
      </c>
    </row>
    <row r="82" spans="1:11" x14ac:dyDescent="0.25">
      <c r="A82" t="s">
        <v>119</v>
      </c>
      <c r="B82" t="str">
        <f>VLOOKUP(A82,I:J,1,FALSE)</f>
        <v>NEI (ETRO)</v>
      </c>
      <c r="I82" t="s">
        <v>117</v>
      </c>
      <c r="J82">
        <v>2</v>
      </c>
      <c r="K82">
        <v>1000</v>
      </c>
    </row>
    <row r="83" spans="1:11" x14ac:dyDescent="0.25">
      <c r="A83" t="s">
        <v>115</v>
      </c>
      <c r="B83" t="str">
        <f>VLOOKUP(A83,I:J,1,FALSE)</f>
        <v>NEI (Flag related)</v>
      </c>
      <c r="I83" t="s">
        <v>119</v>
      </c>
      <c r="J83">
        <v>2</v>
      </c>
      <c r="K83">
        <v>1000</v>
      </c>
    </row>
    <row r="84" spans="1:11" x14ac:dyDescent="0.25">
      <c r="A84" t="s">
        <v>164</v>
      </c>
      <c r="B84" t="str">
        <f>VLOOKUP(A84,I:J,1,FALSE)</f>
        <v>NEI (inflated)</v>
      </c>
      <c r="I84" t="s">
        <v>115</v>
      </c>
      <c r="J84">
        <v>2</v>
      </c>
      <c r="K84">
        <v>1000</v>
      </c>
    </row>
    <row r="85" spans="1:11" x14ac:dyDescent="0.25">
      <c r="A85" t="s">
        <v>112</v>
      </c>
      <c r="B85" t="str">
        <f>VLOOKUP(A85,I:J,1,FALSE)</f>
        <v>NEI (MED)</v>
      </c>
      <c r="I85" t="s">
        <v>164</v>
      </c>
      <c r="J85">
        <v>2</v>
      </c>
      <c r="K85">
        <v>1000</v>
      </c>
    </row>
    <row r="86" spans="1:11" x14ac:dyDescent="0.25">
      <c r="A86" t="s">
        <v>113</v>
      </c>
      <c r="B86" t="str">
        <f>VLOOKUP(A86,I:J,1,FALSE)</f>
        <v>Nigeria</v>
      </c>
      <c r="I86" t="s">
        <v>112</v>
      </c>
      <c r="J86">
        <v>2</v>
      </c>
      <c r="K86">
        <v>1000</v>
      </c>
    </row>
    <row r="87" spans="1:11" x14ac:dyDescent="0.25">
      <c r="A87" t="s">
        <v>74</v>
      </c>
      <c r="B87" t="str">
        <f>VLOOKUP(A87,I:J,1,FALSE)</f>
        <v>Norway</v>
      </c>
      <c r="I87" t="s">
        <v>113</v>
      </c>
      <c r="J87">
        <v>1</v>
      </c>
      <c r="K87">
        <v>125</v>
      </c>
    </row>
    <row r="88" spans="1:11" x14ac:dyDescent="0.25">
      <c r="A88" t="s">
        <v>152</v>
      </c>
      <c r="B88" t="str">
        <f>VLOOKUP(A88,I:J,1,FALSE)</f>
        <v>Palestine</v>
      </c>
      <c r="I88" t="s">
        <v>74</v>
      </c>
      <c r="J88">
        <v>13</v>
      </c>
      <c r="K88">
        <v>128</v>
      </c>
    </row>
    <row r="89" spans="1:11" x14ac:dyDescent="0.25">
      <c r="A89" t="s">
        <v>88</v>
      </c>
      <c r="B89" t="str">
        <f>VLOOKUP(A89,I:J,1,FALSE)</f>
        <v>Panama</v>
      </c>
      <c r="I89" t="s">
        <v>152</v>
      </c>
      <c r="J89">
        <v>3</v>
      </c>
      <c r="K89">
        <v>1000</v>
      </c>
    </row>
    <row r="90" spans="1:11" x14ac:dyDescent="0.25">
      <c r="A90" t="s">
        <v>146</v>
      </c>
      <c r="B90" t="str">
        <f>VLOOKUP(A90,I:J,1,FALSE)</f>
        <v>Philippines</v>
      </c>
      <c r="I90" t="s">
        <v>88</v>
      </c>
      <c r="J90">
        <v>7</v>
      </c>
      <c r="K90">
        <v>135</v>
      </c>
    </row>
    <row r="91" spans="1:11" x14ac:dyDescent="0.25">
      <c r="A91" t="s">
        <v>132</v>
      </c>
      <c r="B91" t="str">
        <f>VLOOKUP(A91,I:J,1,FALSE)</f>
        <v>Puerto Rico</v>
      </c>
      <c r="I91" t="s">
        <v>146</v>
      </c>
      <c r="J91">
        <v>3</v>
      </c>
      <c r="K91">
        <v>138</v>
      </c>
    </row>
    <row r="92" spans="1:11" x14ac:dyDescent="0.25">
      <c r="A92" t="s">
        <v>130</v>
      </c>
      <c r="B92" t="str">
        <f>VLOOKUP(A92,I:J,1,FALSE)</f>
        <v>Russian Federation</v>
      </c>
      <c r="I92" t="s">
        <v>132</v>
      </c>
      <c r="J92">
        <v>9</v>
      </c>
      <c r="K92">
        <v>144</v>
      </c>
    </row>
    <row r="93" spans="1:11" x14ac:dyDescent="0.25">
      <c r="A93" t="s">
        <v>106</v>
      </c>
      <c r="B93" t="str">
        <f>VLOOKUP(A93,I:J,1,FALSE)</f>
        <v>S Tomé e Príncipe</v>
      </c>
      <c r="I93" t="s">
        <v>348</v>
      </c>
      <c r="J93">
        <v>6</v>
      </c>
      <c r="K93">
        <v>147</v>
      </c>
    </row>
    <row r="94" spans="1:11" x14ac:dyDescent="0.25">
      <c r="A94" t="s">
        <v>153</v>
      </c>
      <c r="B94" t="str">
        <f>VLOOKUP(A94,I:J,1,FALSE)</f>
        <v>Saint Kitts and Nevis</v>
      </c>
      <c r="I94" t="s">
        <v>130</v>
      </c>
      <c r="J94">
        <v>10</v>
      </c>
      <c r="K94">
        <v>148</v>
      </c>
    </row>
    <row r="95" spans="1:11" x14ac:dyDescent="0.25">
      <c r="A95" t="s">
        <v>85</v>
      </c>
      <c r="B95" t="str">
        <f>VLOOKUP(A95,I:J,1,FALSE)</f>
        <v>Senegal</v>
      </c>
      <c r="H95" t="s">
        <v>106</v>
      </c>
      <c r="I95" t="s">
        <v>106</v>
      </c>
      <c r="J95">
        <v>1</v>
      </c>
      <c r="K95">
        <v>155</v>
      </c>
    </row>
    <row r="96" spans="1:11" x14ac:dyDescent="0.25">
      <c r="A96" t="s">
        <v>131</v>
      </c>
      <c r="B96" t="str">
        <f>VLOOKUP(A96,I:J,1,FALSE)</f>
        <v>Serbia &amp; Montenegro</v>
      </c>
      <c r="I96" t="s">
        <v>153</v>
      </c>
      <c r="J96">
        <v>4</v>
      </c>
      <c r="K96">
        <v>150</v>
      </c>
    </row>
    <row r="97" spans="1:11" x14ac:dyDescent="0.25">
      <c r="A97" t="s">
        <v>150</v>
      </c>
      <c r="B97" t="str">
        <f>VLOOKUP(A97,I:J,1,FALSE)</f>
        <v>Seychelles</v>
      </c>
      <c r="I97" t="s">
        <v>85</v>
      </c>
      <c r="J97">
        <v>1</v>
      </c>
      <c r="K97">
        <v>157</v>
      </c>
    </row>
    <row r="98" spans="1:11" x14ac:dyDescent="0.25">
      <c r="A98" t="s">
        <v>108</v>
      </c>
      <c r="B98" t="str">
        <f>VLOOKUP(A98,I:J,1,FALSE)</f>
        <v>Sierra Leone</v>
      </c>
      <c r="I98" t="s">
        <v>131</v>
      </c>
      <c r="J98">
        <v>6</v>
      </c>
      <c r="K98">
        <v>194</v>
      </c>
    </row>
    <row r="99" spans="1:11" x14ac:dyDescent="0.25">
      <c r="A99" t="s">
        <v>60</v>
      </c>
      <c r="B99" t="str">
        <f>VLOOKUP(A99,I:J,1,FALSE)</f>
        <v>South Africa</v>
      </c>
      <c r="I99" t="s">
        <v>150</v>
      </c>
      <c r="J99">
        <v>1</v>
      </c>
      <c r="K99">
        <v>158</v>
      </c>
    </row>
    <row r="100" spans="1:11" x14ac:dyDescent="0.25">
      <c r="A100" t="s">
        <v>121</v>
      </c>
      <c r="B100" t="str">
        <f>VLOOKUP(A100,I:J,1,FALSE)</f>
        <v>St Vincent and Grenadines</v>
      </c>
      <c r="I100" t="s">
        <v>108</v>
      </c>
      <c r="J100">
        <v>1</v>
      </c>
      <c r="K100">
        <v>159</v>
      </c>
    </row>
    <row r="101" spans="1:11" x14ac:dyDescent="0.25">
      <c r="A101" t="s">
        <v>100</v>
      </c>
      <c r="B101" t="str">
        <f>VLOOKUP(A101,I:J,1,FALSE)</f>
        <v>Sta Lucia</v>
      </c>
      <c r="I101" t="s">
        <v>60</v>
      </c>
      <c r="J101">
        <v>1</v>
      </c>
      <c r="K101">
        <v>164</v>
      </c>
    </row>
    <row r="102" spans="1:11" x14ac:dyDescent="0.25">
      <c r="A102" t="s">
        <v>162</v>
      </c>
      <c r="B102" t="str">
        <f>VLOOKUP(A102,I:J,1,FALSE)</f>
        <v>Suriname</v>
      </c>
      <c r="H102" t="s">
        <v>121</v>
      </c>
      <c r="I102" t="s">
        <v>121</v>
      </c>
      <c r="J102">
        <v>4</v>
      </c>
      <c r="K102">
        <v>154</v>
      </c>
    </row>
    <row r="103" spans="1:11" x14ac:dyDescent="0.25">
      <c r="A103" t="s">
        <v>96</v>
      </c>
      <c r="B103" t="str">
        <f>VLOOKUP(A103,I:J,1,FALSE)</f>
        <v>Syria</v>
      </c>
      <c r="H103" t="s">
        <v>100</v>
      </c>
      <c r="I103" t="s">
        <v>100</v>
      </c>
      <c r="J103">
        <v>4</v>
      </c>
      <c r="K103">
        <v>152</v>
      </c>
    </row>
    <row r="104" spans="1:11" x14ac:dyDescent="0.25">
      <c r="A104" t="s">
        <v>98</v>
      </c>
      <c r="B104" t="str">
        <f>VLOOKUP(A104,I:J,1,FALSE)</f>
        <v>Togo</v>
      </c>
      <c r="I104" t="s">
        <v>162</v>
      </c>
      <c r="J104">
        <v>11</v>
      </c>
      <c r="K104">
        <v>168</v>
      </c>
    </row>
    <row r="105" spans="1:11" x14ac:dyDescent="0.25">
      <c r="A105" t="s">
        <v>89</v>
      </c>
      <c r="B105" t="str">
        <f>VLOOKUP(A105,I:J,1,FALSE)</f>
        <v>Trinidad and Tobago</v>
      </c>
      <c r="I105" t="s">
        <v>96</v>
      </c>
      <c r="J105">
        <v>3</v>
      </c>
      <c r="K105">
        <v>170</v>
      </c>
    </row>
    <row r="106" spans="1:11" x14ac:dyDescent="0.25">
      <c r="A106" t="s">
        <v>72</v>
      </c>
      <c r="B106" t="str">
        <f>VLOOKUP(A106,I:J,1,FALSE)</f>
        <v>Tunisie</v>
      </c>
      <c r="I106" t="s">
        <v>98</v>
      </c>
      <c r="J106">
        <v>1</v>
      </c>
      <c r="K106">
        <v>172</v>
      </c>
    </row>
    <row r="107" spans="1:11" x14ac:dyDescent="0.25">
      <c r="A107" t="s">
        <v>62</v>
      </c>
      <c r="B107" t="str">
        <f>VLOOKUP(A107,I:J,1,FALSE)</f>
        <v>Türkiye</v>
      </c>
      <c r="I107" t="s">
        <v>89</v>
      </c>
      <c r="J107">
        <v>4</v>
      </c>
      <c r="K107">
        <v>175</v>
      </c>
    </row>
    <row r="108" spans="1:11" x14ac:dyDescent="0.25">
      <c r="A108" t="s">
        <v>107</v>
      </c>
      <c r="B108" t="str">
        <f>VLOOKUP(A108,I:J,1,FALSE)</f>
        <v>UK-Bermuda</v>
      </c>
      <c r="I108" t="s">
        <v>72</v>
      </c>
      <c r="J108">
        <v>1</v>
      </c>
      <c r="K108">
        <v>177</v>
      </c>
    </row>
    <row r="109" spans="1:11" x14ac:dyDescent="0.25">
      <c r="A109" t="s">
        <v>156</v>
      </c>
      <c r="B109" t="str">
        <f>VLOOKUP(A109,I:J,1,FALSE)</f>
        <v>UK-British Virgin Islands</v>
      </c>
      <c r="H109" t="s">
        <v>62</v>
      </c>
      <c r="I109" t="s">
        <v>62</v>
      </c>
      <c r="J109">
        <v>3</v>
      </c>
      <c r="K109">
        <v>178</v>
      </c>
    </row>
    <row r="110" spans="1:11" x14ac:dyDescent="0.25">
      <c r="A110" t="s">
        <v>120</v>
      </c>
      <c r="B110" t="str">
        <f>VLOOKUP(A110,I:J,1,FALSE)</f>
        <v>Ukraine</v>
      </c>
      <c r="H110" t="s">
        <v>63</v>
      </c>
      <c r="I110" t="s">
        <v>63</v>
      </c>
      <c r="J110">
        <v>8</v>
      </c>
      <c r="K110">
        <v>187</v>
      </c>
    </row>
    <row r="111" spans="1:11" x14ac:dyDescent="0.25">
      <c r="A111" t="s">
        <v>93</v>
      </c>
      <c r="B111" t="str">
        <f>VLOOKUP(A111,I:J,1,FALSE)</f>
        <v>UK-Sta Helena</v>
      </c>
      <c r="H111" t="s">
        <v>81</v>
      </c>
      <c r="I111" t="s">
        <v>81</v>
      </c>
      <c r="J111">
        <v>12</v>
      </c>
      <c r="K111">
        <v>2000</v>
      </c>
    </row>
    <row r="112" spans="1:11" x14ac:dyDescent="0.25">
      <c r="A112" t="s">
        <v>155</v>
      </c>
      <c r="B112" t="str">
        <f>VLOOKUP(A112,I:J,1,FALSE)</f>
        <v>UK-Turks and Caicos</v>
      </c>
      <c r="I112" t="s">
        <v>107</v>
      </c>
      <c r="J112">
        <v>4</v>
      </c>
      <c r="K112">
        <v>13</v>
      </c>
    </row>
    <row r="113" spans="1:11" x14ac:dyDescent="0.25">
      <c r="A113" t="s">
        <v>86</v>
      </c>
      <c r="B113" t="str">
        <f>VLOOKUP(A113,I:J,1,FALSE)</f>
        <v>Uruguay</v>
      </c>
      <c r="I113" t="s">
        <v>156</v>
      </c>
      <c r="J113">
        <v>4</v>
      </c>
      <c r="K113">
        <v>19</v>
      </c>
    </row>
    <row r="114" spans="1:11" x14ac:dyDescent="0.25">
      <c r="A114" t="s">
        <v>63</v>
      </c>
      <c r="B114" t="str">
        <f>VLOOKUP(A114,I:J,1,FALSE)</f>
        <v>USA</v>
      </c>
      <c r="I114" t="s">
        <v>93</v>
      </c>
      <c r="J114">
        <v>4</v>
      </c>
      <c r="K114">
        <v>149</v>
      </c>
    </row>
    <row r="115" spans="1:11" x14ac:dyDescent="0.25">
      <c r="A115" t="s">
        <v>81</v>
      </c>
      <c r="B115" t="str">
        <f>VLOOKUP(A115,I:J,1,FALSE)</f>
        <v>USSR</v>
      </c>
      <c r="I115" t="s">
        <v>155</v>
      </c>
      <c r="J115">
        <v>4</v>
      </c>
      <c r="K115">
        <v>179</v>
      </c>
    </row>
    <row r="116" spans="1:11" x14ac:dyDescent="0.25">
      <c r="A116" t="s">
        <v>157</v>
      </c>
      <c r="B116" t="str">
        <f>VLOOKUP(A116,I:J,1,FALSE)</f>
        <v>Vanuatu</v>
      </c>
      <c r="I116" t="s">
        <v>120</v>
      </c>
      <c r="J116">
        <v>6</v>
      </c>
      <c r="K116">
        <v>181</v>
      </c>
    </row>
    <row r="117" spans="1:11" x14ac:dyDescent="0.25">
      <c r="A117" t="s">
        <v>66</v>
      </c>
      <c r="B117" t="str">
        <f>VLOOKUP(A117,I:J,1,FALSE)</f>
        <v>Venezuela</v>
      </c>
      <c r="I117" t="s">
        <v>86</v>
      </c>
      <c r="J117">
        <v>11</v>
      </c>
      <c r="K117">
        <v>189</v>
      </c>
    </row>
    <row r="118" spans="1:11" x14ac:dyDescent="0.25">
      <c r="A118" t="s">
        <v>64</v>
      </c>
      <c r="B118" t="str">
        <f>VLOOKUP(A118,I:J,1,FALSE)</f>
        <v>Yugoslavia Fed</v>
      </c>
      <c r="I118" t="s">
        <v>157</v>
      </c>
      <c r="J118">
        <v>7</v>
      </c>
      <c r="K118">
        <v>122</v>
      </c>
    </row>
    <row r="119" spans="1:11" x14ac:dyDescent="0.25">
      <c r="I119" t="s">
        <v>66</v>
      </c>
      <c r="J119">
        <v>11</v>
      </c>
      <c r="K119">
        <v>190</v>
      </c>
    </row>
    <row r="120" spans="1:11" x14ac:dyDescent="0.25">
      <c r="H120" t="s">
        <v>64</v>
      </c>
      <c r="I120" t="s">
        <v>64</v>
      </c>
      <c r="J120">
        <v>6</v>
      </c>
      <c r="K120">
        <v>4000</v>
      </c>
    </row>
    <row r="121" spans="1:11" x14ac:dyDescent="0.25">
      <c r="I121" t="s">
        <v>165</v>
      </c>
      <c r="J121">
        <v>13</v>
      </c>
      <c r="K121">
        <v>183</v>
      </c>
    </row>
    <row r="122" spans="1:11" x14ac:dyDescent="0.25">
      <c r="I122" s="2" t="s">
        <v>133</v>
      </c>
      <c r="J122" s="2">
        <v>13</v>
      </c>
      <c r="K122" s="2">
        <v>183</v>
      </c>
    </row>
  </sheetData>
  <sortState xmlns:xlrd2="http://schemas.microsoft.com/office/spreadsheetml/2017/richdata2" ref="A1:B104806">
    <sortCondition ref="A1:A1048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9B4D-F277-41FD-91E7-5234402BDEB0}">
  <dimension ref="A1:I55"/>
  <sheetViews>
    <sheetView topLeftCell="A34" workbookViewId="0">
      <selection activeCell="H49" sqref="H49"/>
    </sheetView>
  </sheetViews>
  <sheetFormatPr defaultRowHeight="15" x14ac:dyDescent="0.25"/>
  <cols>
    <col min="1" max="1" width="9.7109375" bestFit="1" customWidth="1"/>
    <col min="7" max="7" width="9.7109375" bestFit="1" customWidth="1"/>
    <col min="8" max="8" width="12.7109375" bestFit="1" customWidth="1"/>
  </cols>
  <sheetData>
    <row r="1" spans="1:9" x14ac:dyDescent="0.25">
      <c r="A1" t="s">
        <v>4</v>
      </c>
      <c r="B1" t="str">
        <f>VLOOKUP(A1,G:I,1,FALSE)</f>
        <v>BB</v>
      </c>
      <c r="G1" t="s">
        <v>0</v>
      </c>
      <c r="H1" t="s">
        <v>350</v>
      </c>
      <c r="I1" t="s">
        <v>351</v>
      </c>
    </row>
    <row r="2" spans="1:9" x14ac:dyDescent="0.25">
      <c r="A2" t="s">
        <v>47</v>
      </c>
      <c r="B2" t="str">
        <f t="shared" ref="B2:B47" si="0">VLOOKUP(A2,G:I,1,FALSE)</f>
        <v>BBALB</v>
      </c>
      <c r="G2" t="s">
        <v>4</v>
      </c>
      <c r="H2">
        <v>1</v>
      </c>
      <c r="I2">
        <v>301</v>
      </c>
    </row>
    <row r="3" spans="1:9" x14ac:dyDescent="0.25">
      <c r="A3" t="s">
        <v>29</v>
      </c>
      <c r="B3" t="str">
        <f t="shared" si="0"/>
        <v>BBF</v>
      </c>
      <c r="G3" t="s">
        <v>29</v>
      </c>
      <c r="H3">
        <v>5</v>
      </c>
      <c r="I3">
        <v>301</v>
      </c>
    </row>
    <row r="4" spans="1:9" x14ac:dyDescent="0.25">
      <c r="A4" t="s">
        <v>22</v>
      </c>
      <c r="B4" t="str">
        <f t="shared" si="0"/>
        <v>BBI</v>
      </c>
      <c r="G4" t="s">
        <v>22</v>
      </c>
      <c r="H4">
        <v>6</v>
      </c>
      <c r="I4">
        <v>301</v>
      </c>
    </row>
    <row r="5" spans="1:9" x14ac:dyDescent="0.25">
      <c r="A5" t="s">
        <v>43</v>
      </c>
      <c r="B5" t="str">
        <f t="shared" si="0"/>
        <v>FASA</v>
      </c>
      <c r="G5" t="s">
        <v>9</v>
      </c>
      <c r="H5">
        <v>13</v>
      </c>
      <c r="I5">
        <v>500</v>
      </c>
    </row>
    <row r="6" spans="1:9" x14ac:dyDescent="0.25">
      <c r="A6" t="s">
        <v>9</v>
      </c>
      <c r="B6" t="str">
        <f t="shared" si="0"/>
        <v>GILL</v>
      </c>
      <c r="G6" t="s">
        <v>352</v>
      </c>
      <c r="H6">
        <v>14</v>
      </c>
      <c r="I6">
        <v>500</v>
      </c>
    </row>
    <row r="7" spans="1:9" x14ac:dyDescent="0.25">
      <c r="A7" t="s">
        <v>45</v>
      </c>
      <c r="B7" t="str">
        <f t="shared" si="0"/>
        <v>GNS</v>
      </c>
      <c r="G7" t="s">
        <v>353</v>
      </c>
      <c r="H7">
        <v>15</v>
      </c>
      <c r="I7">
        <v>500</v>
      </c>
    </row>
    <row r="8" spans="1:9" x14ac:dyDescent="0.25">
      <c r="A8" t="s">
        <v>11</v>
      </c>
      <c r="B8" t="str">
        <f t="shared" si="0"/>
        <v>HAND</v>
      </c>
      <c r="G8" t="s">
        <v>11</v>
      </c>
      <c r="H8">
        <v>18</v>
      </c>
      <c r="I8">
        <v>303</v>
      </c>
    </row>
    <row r="9" spans="1:9" x14ac:dyDescent="0.25">
      <c r="A9" t="s">
        <v>7</v>
      </c>
      <c r="B9" t="str">
        <f t="shared" si="0"/>
        <v>HARP</v>
      </c>
      <c r="G9" t="s">
        <v>7</v>
      </c>
      <c r="H9">
        <v>19</v>
      </c>
      <c r="I9">
        <v>604</v>
      </c>
    </row>
    <row r="10" spans="1:9" x14ac:dyDescent="0.25">
      <c r="A10" t="s">
        <v>5</v>
      </c>
      <c r="B10" t="str">
        <f t="shared" si="0"/>
        <v>HARPE</v>
      </c>
      <c r="G10" t="s">
        <v>5</v>
      </c>
      <c r="H10">
        <v>19</v>
      </c>
      <c r="I10">
        <v>604</v>
      </c>
    </row>
    <row r="11" spans="1:9" x14ac:dyDescent="0.25">
      <c r="A11" t="s">
        <v>17</v>
      </c>
      <c r="B11" t="str">
        <f t="shared" si="0"/>
        <v>HS</v>
      </c>
      <c r="G11" t="s">
        <v>17</v>
      </c>
      <c r="H11">
        <v>20</v>
      </c>
      <c r="I11">
        <v>401</v>
      </c>
    </row>
    <row r="12" spans="1:9" x14ac:dyDescent="0.25">
      <c r="A12" t="s">
        <v>8</v>
      </c>
      <c r="B12" t="str">
        <f t="shared" si="0"/>
        <v>LL</v>
      </c>
      <c r="G12" t="s">
        <v>8</v>
      </c>
      <c r="H12">
        <v>22</v>
      </c>
      <c r="I12">
        <v>302</v>
      </c>
    </row>
    <row r="13" spans="1:9" x14ac:dyDescent="0.25">
      <c r="A13" t="s">
        <v>31</v>
      </c>
      <c r="B13" t="str">
        <f t="shared" si="0"/>
        <v>LLALB</v>
      </c>
      <c r="G13" t="s">
        <v>31</v>
      </c>
      <c r="H13">
        <v>35</v>
      </c>
      <c r="I13">
        <v>302</v>
      </c>
    </row>
    <row r="14" spans="1:9" x14ac:dyDescent="0.25">
      <c r="A14" t="s">
        <v>16</v>
      </c>
      <c r="B14" t="str">
        <f t="shared" si="0"/>
        <v>LL-B</v>
      </c>
      <c r="G14" t="s">
        <v>16</v>
      </c>
      <c r="H14">
        <v>23</v>
      </c>
      <c r="I14">
        <v>302</v>
      </c>
    </row>
    <row r="15" spans="1:9" x14ac:dyDescent="0.25">
      <c r="A15" t="s">
        <v>36</v>
      </c>
      <c r="B15" t="str">
        <f t="shared" si="0"/>
        <v>LLBFT</v>
      </c>
      <c r="G15" t="s">
        <v>36</v>
      </c>
      <c r="H15">
        <v>36</v>
      </c>
      <c r="I15">
        <v>302</v>
      </c>
    </row>
    <row r="16" spans="1:9" x14ac:dyDescent="0.25">
      <c r="A16" t="s">
        <v>38</v>
      </c>
      <c r="B16" t="str">
        <f t="shared" si="0"/>
        <v>LL-deri</v>
      </c>
      <c r="G16" t="s">
        <v>38</v>
      </c>
      <c r="H16">
        <v>30</v>
      </c>
      <c r="I16">
        <v>302</v>
      </c>
    </row>
    <row r="17" spans="1:9" x14ac:dyDescent="0.25">
      <c r="A17" t="s">
        <v>21</v>
      </c>
      <c r="B17" t="str">
        <f t="shared" si="0"/>
        <v>LLFB</v>
      </c>
      <c r="G17" t="s">
        <v>21</v>
      </c>
      <c r="H17">
        <v>31</v>
      </c>
      <c r="I17">
        <v>302</v>
      </c>
    </row>
    <row r="18" spans="1:9" x14ac:dyDescent="0.25">
      <c r="A18" t="s">
        <v>35</v>
      </c>
      <c r="B18" t="str">
        <f t="shared" si="0"/>
        <v>LLHB</v>
      </c>
      <c r="G18" t="s">
        <v>35</v>
      </c>
      <c r="H18">
        <v>32</v>
      </c>
      <c r="I18">
        <v>302</v>
      </c>
    </row>
    <row r="19" spans="1:9" x14ac:dyDescent="0.25">
      <c r="A19" t="s">
        <v>33</v>
      </c>
      <c r="B19" t="str">
        <f t="shared" si="0"/>
        <v>LLJAP</v>
      </c>
      <c r="G19" t="s">
        <v>33</v>
      </c>
      <c r="H19">
        <v>33</v>
      </c>
      <c r="I19">
        <v>302</v>
      </c>
    </row>
    <row r="20" spans="1:9" x14ac:dyDescent="0.25">
      <c r="A20" t="s">
        <v>24</v>
      </c>
      <c r="B20" t="str">
        <f t="shared" si="0"/>
        <v>LLMB</v>
      </c>
      <c r="G20" t="s">
        <v>24</v>
      </c>
      <c r="H20">
        <v>38</v>
      </c>
      <c r="I20">
        <v>302</v>
      </c>
    </row>
    <row r="21" spans="1:9" x14ac:dyDescent="0.25">
      <c r="A21" t="s">
        <v>40</v>
      </c>
      <c r="B21" t="str">
        <f t="shared" si="0"/>
        <v>LLPB</v>
      </c>
      <c r="G21" t="s">
        <v>40</v>
      </c>
      <c r="H21">
        <v>39</v>
      </c>
      <c r="I21">
        <v>302</v>
      </c>
    </row>
    <row r="22" spans="1:9" x14ac:dyDescent="0.25">
      <c r="A22" t="s">
        <v>41</v>
      </c>
      <c r="B22" t="str">
        <f t="shared" si="0"/>
        <v>LL-Shrk</v>
      </c>
      <c r="G22" t="s">
        <v>41</v>
      </c>
      <c r="H22">
        <v>25</v>
      </c>
      <c r="I22">
        <v>302</v>
      </c>
    </row>
    <row r="23" spans="1:9" x14ac:dyDescent="0.25">
      <c r="A23" t="s">
        <v>23</v>
      </c>
      <c r="B23" t="str">
        <f t="shared" si="0"/>
        <v>LL-surf</v>
      </c>
      <c r="G23" t="s">
        <v>23</v>
      </c>
      <c r="H23">
        <v>34</v>
      </c>
      <c r="I23">
        <v>302</v>
      </c>
    </row>
    <row r="24" spans="1:9" x14ac:dyDescent="0.25">
      <c r="A24" t="s">
        <v>13</v>
      </c>
      <c r="B24" t="str">
        <f t="shared" si="0"/>
        <v>LLSWO</v>
      </c>
      <c r="G24" t="s">
        <v>13</v>
      </c>
      <c r="H24">
        <v>37</v>
      </c>
      <c r="I24">
        <v>302</v>
      </c>
    </row>
    <row r="25" spans="1:9" x14ac:dyDescent="0.25">
      <c r="A25" t="s">
        <v>46</v>
      </c>
      <c r="B25" t="str">
        <f t="shared" si="0"/>
        <v>OTH</v>
      </c>
      <c r="G25" t="s">
        <v>46</v>
      </c>
      <c r="H25">
        <v>42</v>
      </c>
      <c r="I25">
        <v>600</v>
      </c>
    </row>
    <row r="26" spans="1:9" x14ac:dyDescent="0.25">
      <c r="A26" t="s">
        <v>3</v>
      </c>
      <c r="B26" t="str">
        <f t="shared" si="0"/>
        <v>PS</v>
      </c>
      <c r="G26" t="s">
        <v>3</v>
      </c>
      <c r="H26">
        <v>43</v>
      </c>
      <c r="I26">
        <v>401</v>
      </c>
    </row>
    <row r="27" spans="1:9" x14ac:dyDescent="0.25">
      <c r="A27" t="s">
        <v>26</v>
      </c>
      <c r="B27" t="str">
        <f t="shared" si="0"/>
        <v>PSD</v>
      </c>
      <c r="G27" t="s">
        <v>26</v>
      </c>
      <c r="H27">
        <v>46</v>
      </c>
      <c r="I27">
        <v>401</v>
      </c>
    </row>
    <row r="28" spans="1:9" x14ac:dyDescent="0.25">
      <c r="A28" t="s">
        <v>20</v>
      </c>
      <c r="B28" t="str">
        <f t="shared" si="0"/>
        <v>PSFB</v>
      </c>
      <c r="G28" t="s">
        <v>20</v>
      </c>
      <c r="H28">
        <v>44</v>
      </c>
      <c r="I28">
        <v>401</v>
      </c>
    </row>
    <row r="29" spans="1:9" x14ac:dyDescent="0.25">
      <c r="A29" t="s">
        <v>27</v>
      </c>
      <c r="B29" t="str">
        <f t="shared" si="0"/>
        <v>PSFS</v>
      </c>
      <c r="G29" t="s">
        <v>27</v>
      </c>
      <c r="H29">
        <v>45</v>
      </c>
      <c r="I29">
        <v>401</v>
      </c>
    </row>
    <row r="30" spans="1:9" x14ac:dyDescent="0.25">
      <c r="A30" t="s">
        <v>28</v>
      </c>
      <c r="B30" t="str">
        <f t="shared" si="0"/>
        <v>PSG</v>
      </c>
      <c r="G30" t="s">
        <v>28</v>
      </c>
      <c r="H30">
        <v>47</v>
      </c>
      <c r="I30">
        <v>401</v>
      </c>
    </row>
    <row r="31" spans="1:9" x14ac:dyDescent="0.25">
      <c r="A31" t="s">
        <v>39</v>
      </c>
      <c r="B31" t="str">
        <f t="shared" si="0"/>
        <v>PSLB</v>
      </c>
      <c r="G31" t="s">
        <v>39</v>
      </c>
      <c r="H31">
        <v>50</v>
      </c>
      <c r="I31">
        <v>401</v>
      </c>
    </row>
    <row r="32" spans="1:9" x14ac:dyDescent="0.25">
      <c r="A32" t="s">
        <v>25</v>
      </c>
      <c r="B32" t="str">
        <f t="shared" si="0"/>
        <v>PSM</v>
      </c>
      <c r="G32" t="s">
        <v>25</v>
      </c>
      <c r="H32">
        <v>48</v>
      </c>
      <c r="I32">
        <v>401</v>
      </c>
    </row>
    <row r="33" spans="1:9" x14ac:dyDescent="0.25">
      <c r="A33" t="s">
        <v>30</v>
      </c>
      <c r="B33" t="str">
        <f t="shared" si="0"/>
        <v>PSS</v>
      </c>
      <c r="G33" t="s">
        <v>30</v>
      </c>
      <c r="H33">
        <v>49</v>
      </c>
      <c r="I33">
        <v>401</v>
      </c>
    </row>
    <row r="34" spans="1:9" x14ac:dyDescent="0.25">
      <c r="A34" t="s">
        <v>19</v>
      </c>
      <c r="B34" t="str">
        <f t="shared" si="0"/>
        <v>RR</v>
      </c>
      <c r="G34" t="s">
        <v>19</v>
      </c>
      <c r="H34">
        <v>52</v>
      </c>
      <c r="I34">
        <v>301</v>
      </c>
    </row>
    <row r="35" spans="1:9" x14ac:dyDescent="0.25">
      <c r="A35" t="s">
        <v>6</v>
      </c>
      <c r="B35" t="str">
        <f t="shared" si="0"/>
        <v>RRFB</v>
      </c>
      <c r="G35" t="s">
        <v>6</v>
      </c>
      <c r="H35">
        <v>53</v>
      </c>
      <c r="I35">
        <v>301</v>
      </c>
    </row>
    <row r="36" spans="1:9" x14ac:dyDescent="0.25">
      <c r="A36" t="s">
        <v>15</v>
      </c>
      <c r="B36" t="str">
        <f t="shared" si="0"/>
        <v>RRFS</v>
      </c>
      <c r="G36" t="s">
        <v>15</v>
      </c>
      <c r="H36">
        <v>54</v>
      </c>
      <c r="I36">
        <v>301</v>
      </c>
    </row>
    <row r="37" spans="1:9" x14ac:dyDescent="0.25">
      <c r="A37" t="s">
        <v>12</v>
      </c>
      <c r="B37" t="str">
        <f t="shared" si="0"/>
        <v>SURF</v>
      </c>
      <c r="G37" t="s">
        <v>354</v>
      </c>
      <c r="H37">
        <v>57</v>
      </c>
      <c r="I37">
        <v>700</v>
      </c>
    </row>
    <row r="38" spans="1:9" x14ac:dyDescent="0.25">
      <c r="A38" t="s">
        <v>34</v>
      </c>
      <c r="B38" t="str">
        <f t="shared" si="0"/>
        <v>TL</v>
      </c>
      <c r="G38" t="s">
        <v>355</v>
      </c>
      <c r="H38">
        <v>58</v>
      </c>
      <c r="I38">
        <v>700</v>
      </c>
    </row>
    <row r="39" spans="1:9" x14ac:dyDescent="0.25">
      <c r="A39" t="s">
        <v>18</v>
      </c>
      <c r="B39" t="str">
        <f t="shared" si="0"/>
        <v>TN</v>
      </c>
      <c r="G39" t="s">
        <v>12</v>
      </c>
      <c r="H39">
        <v>59</v>
      </c>
      <c r="I39">
        <v>606</v>
      </c>
    </row>
    <row r="40" spans="1:9" x14ac:dyDescent="0.25">
      <c r="A40" t="s">
        <v>1</v>
      </c>
      <c r="B40" t="str">
        <f t="shared" si="0"/>
        <v>TRAP</v>
      </c>
      <c r="G40" t="s">
        <v>34</v>
      </c>
      <c r="H40">
        <v>60</v>
      </c>
      <c r="I40">
        <v>300</v>
      </c>
    </row>
    <row r="41" spans="1:9" x14ac:dyDescent="0.25">
      <c r="A41" t="s">
        <v>44</v>
      </c>
      <c r="B41" t="str">
        <f t="shared" si="0"/>
        <v>TRAP-S</v>
      </c>
      <c r="G41" t="s">
        <v>18</v>
      </c>
      <c r="H41">
        <v>61</v>
      </c>
      <c r="I41">
        <v>501</v>
      </c>
    </row>
    <row r="42" spans="1:9" x14ac:dyDescent="0.25">
      <c r="A42" t="s">
        <v>14</v>
      </c>
      <c r="B42" t="str">
        <f t="shared" si="0"/>
        <v>TRAW</v>
      </c>
      <c r="G42" t="s">
        <v>1</v>
      </c>
      <c r="H42">
        <v>62</v>
      </c>
      <c r="I42">
        <v>601</v>
      </c>
    </row>
    <row r="43" spans="1:9" x14ac:dyDescent="0.25">
      <c r="A43" t="s">
        <v>42</v>
      </c>
      <c r="B43" t="str">
        <f t="shared" si="0"/>
        <v>TRAWB</v>
      </c>
      <c r="G43" t="s">
        <v>44</v>
      </c>
      <c r="H43">
        <v>62</v>
      </c>
      <c r="I43">
        <v>601</v>
      </c>
    </row>
    <row r="44" spans="1:9" x14ac:dyDescent="0.25">
      <c r="A44" t="s">
        <v>32</v>
      </c>
      <c r="B44" t="str">
        <f t="shared" si="0"/>
        <v>TRAWP</v>
      </c>
      <c r="G44" t="s">
        <v>14</v>
      </c>
      <c r="H44">
        <v>63</v>
      </c>
      <c r="I44">
        <v>100</v>
      </c>
    </row>
    <row r="45" spans="1:9" x14ac:dyDescent="0.25">
      <c r="A45" t="s">
        <v>37</v>
      </c>
      <c r="B45" t="str">
        <f t="shared" si="0"/>
        <v>TRAWPP</v>
      </c>
      <c r="G45" t="s">
        <v>42</v>
      </c>
      <c r="H45">
        <v>63</v>
      </c>
      <c r="I45">
        <v>100</v>
      </c>
    </row>
    <row r="46" spans="1:9" x14ac:dyDescent="0.25">
      <c r="A46" t="s">
        <v>10</v>
      </c>
      <c r="B46" t="str">
        <f t="shared" si="0"/>
        <v>TROL</v>
      </c>
      <c r="G46" t="s">
        <v>32</v>
      </c>
      <c r="H46">
        <v>63</v>
      </c>
      <c r="I46">
        <v>100</v>
      </c>
    </row>
    <row r="47" spans="1:9" x14ac:dyDescent="0.25">
      <c r="A47" t="s">
        <v>2</v>
      </c>
      <c r="B47" t="str">
        <f t="shared" si="0"/>
        <v>UNCL</v>
      </c>
      <c r="G47" t="s">
        <v>37</v>
      </c>
      <c r="H47">
        <v>63</v>
      </c>
      <c r="I47">
        <v>100</v>
      </c>
    </row>
    <row r="48" spans="1:9" x14ac:dyDescent="0.25">
      <c r="G48" t="s">
        <v>10</v>
      </c>
      <c r="H48">
        <v>66</v>
      </c>
      <c r="I48">
        <v>302</v>
      </c>
    </row>
    <row r="49" spans="7:9" x14ac:dyDescent="0.25">
      <c r="G49" t="s">
        <v>2</v>
      </c>
      <c r="H49">
        <v>70</v>
      </c>
      <c r="I49">
        <v>801</v>
      </c>
    </row>
    <row r="50" spans="7:9" x14ac:dyDescent="0.25">
      <c r="G50" t="s">
        <v>356</v>
      </c>
      <c r="H50">
        <v>65</v>
      </c>
      <c r="I50">
        <v>200</v>
      </c>
    </row>
    <row r="51" spans="7:9" x14ac:dyDescent="0.25">
      <c r="G51" t="s">
        <v>357</v>
      </c>
      <c r="H51">
        <v>64</v>
      </c>
      <c r="I51">
        <v>200</v>
      </c>
    </row>
    <row r="52" spans="7:9" x14ac:dyDescent="0.25">
      <c r="G52" t="s">
        <v>358</v>
      </c>
      <c r="H52">
        <v>7</v>
      </c>
      <c r="I52">
        <v>800</v>
      </c>
    </row>
    <row r="53" spans="7:9" x14ac:dyDescent="0.25">
      <c r="G53" t="s">
        <v>45</v>
      </c>
      <c r="H53">
        <v>13</v>
      </c>
      <c r="I53">
        <v>500</v>
      </c>
    </row>
    <row r="54" spans="7:9" x14ac:dyDescent="0.25">
      <c r="G54" t="s">
        <v>47</v>
      </c>
      <c r="H54">
        <v>1</v>
      </c>
      <c r="I54">
        <v>301</v>
      </c>
    </row>
    <row r="55" spans="7:9" x14ac:dyDescent="0.25">
      <c r="G55" s="2" t="s">
        <v>43</v>
      </c>
      <c r="H55" s="2">
        <v>70</v>
      </c>
      <c r="I55" s="2">
        <v>801</v>
      </c>
    </row>
  </sheetData>
  <sortState xmlns:xlrd2="http://schemas.microsoft.com/office/spreadsheetml/2017/richdata2" ref="A1:A104806">
    <sortCondition ref="A1:A1048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0B1C-8121-414A-B52E-08F6ABFFFBD7}">
  <dimension ref="A1:T193"/>
  <sheetViews>
    <sheetView tabSelected="1" topLeftCell="A166" workbookViewId="0">
      <selection activeCell="M194" sqref="M194"/>
    </sheetView>
  </sheetViews>
  <sheetFormatPr defaultRowHeight="15" x14ac:dyDescent="0.25"/>
  <cols>
    <col min="1" max="1" width="12.28515625" bestFit="1" customWidth="1"/>
    <col min="3" max="3" width="25.28515625" bestFit="1" customWidth="1"/>
    <col min="4" max="4" width="16.5703125" bestFit="1" customWidth="1"/>
    <col min="7" max="7" width="17.42578125" customWidth="1"/>
    <col min="8" max="8" width="15.42578125" customWidth="1"/>
    <col min="9" max="9" width="15.140625" bestFit="1" customWidth="1"/>
    <col min="11" max="11" width="25.28515625" bestFit="1" customWidth="1"/>
  </cols>
  <sheetData>
    <row r="1" spans="1:20" x14ac:dyDescent="0.25">
      <c r="A1" t="s">
        <v>242</v>
      </c>
      <c r="B1" t="str">
        <f>VLOOKUP(A1,G:I,1,FALSE)</f>
        <v>AGN</v>
      </c>
      <c r="G1" t="s">
        <v>166</v>
      </c>
      <c r="H1" t="s">
        <v>359</v>
      </c>
      <c r="I1" t="s">
        <v>360</v>
      </c>
    </row>
    <row r="2" spans="1:20" x14ac:dyDescent="0.25">
      <c r="A2" t="s">
        <v>173</v>
      </c>
      <c r="B2" t="str">
        <f t="shared" ref="B2:B65" si="0">VLOOKUP(A2,G:I,1,FALSE)</f>
        <v>ALB</v>
      </c>
      <c r="G2" t="s">
        <v>242</v>
      </c>
      <c r="H2">
        <v>600736</v>
      </c>
      <c r="I2">
        <v>5</v>
      </c>
      <c r="J2" t="s">
        <v>400</v>
      </c>
      <c r="L2" t="str">
        <f>VLOOKUP(H2,S:T,2,FALSE)</f>
        <v>Squatina squatina</v>
      </c>
      <c r="S2">
        <v>100039</v>
      </c>
      <c r="T2" t="s">
        <v>406</v>
      </c>
    </row>
    <row r="3" spans="1:20" x14ac:dyDescent="0.25">
      <c r="A3" t="s">
        <v>311</v>
      </c>
      <c r="B3" t="str">
        <f t="shared" si="0"/>
        <v>ALM</v>
      </c>
      <c r="C3" t="s">
        <v>376</v>
      </c>
      <c r="D3" s="1" t="s">
        <v>377</v>
      </c>
      <c r="G3" t="s">
        <v>173</v>
      </c>
      <c r="H3">
        <v>600142</v>
      </c>
      <c r="I3">
        <v>1</v>
      </c>
      <c r="J3" t="s">
        <v>401</v>
      </c>
      <c r="L3" t="str">
        <f t="shared" ref="L3:L66" si="1">VLOOKUP(H3,S:T,2,FALSE)</f>
        <v>Thunnus alalunga</v>
      </c>
      <c r="S3">
        <v>200004</v>
      </c>
      <c r="T3" t="s">
        <v>407</v>
      </c>
    </row>
    <row r="4" spans="1:20" x14ac:dyDescent="0.25">
      <c r="A4" t="s">
        <v>286</v>
      </c>
      <c r="B4" t="str">
        <f t="shared" si="0"/>
        <v>ALS</v>
      </c>
      <c r="G4" t="s">
        <v>286</v>
      </c>
      <c r="H4">
        <v>600858</v>
      </c>
      <c r="I4">
        <v>5</v>
      </c>
      <c r="J4" t="s">
        <v>400</v>
      </c>
      <c r="L4" t="str">
        <f t="shared" si="1"/>
        <v>Carcharhinus albimarginatus</v>
      </c>
      <c r="S4">
        <v>300008</v>
      </c>
      <c r="T4" t="s">
        <v>408</v>
      </c>
    </row>
    <row r="5" spans="1:20" x14ac:dyDescent="0.25">
      <c r="A5" t="s">
        <v>204</v>
      </c>
      <c r="B5" t="str">
        <f t="shared" si="0"/>
        <v>ALV</v>
      </c>
      <c r="G5" t="s">
        <v>204</v>
      </c>
      <c r="H5">
        <v>602535</v>
      </c>
      <c r="I5">
        <v>5</v>
      </c>
      <c r="J5" t="s">
        <v>400</v>
      </c>
      <c r="L5" t="str">
        <f t="shared" si="1"/>
        <v>Alopias vulpinus</v>
      </c>
      <c r="S5">
        <v>300009</v>
      </c>
      <c r="T5" t="s">
        <v>409</v>
      </c>
    </row>
    <row r="6" spans="1:20" x14ac:dyDescent="0.25">
      <c r="A6" t="s">
        <v>293</v>
      </c>
      <c r="B6" t="str">
        <f t="shared" si="0"/>
        <v>AMB</v>
      </c>
      <c r="G6" t="s">
        <v>293</v>
      </c>
      <c r="H6">
        <v>601005</v>
      </c>
      <c r="I6">
        <v>6</v>
      </c>
      <c r="L6" t="str">
        <f t="shared" si="1"/>
        <v>Seriola dumerili</v>
      </c>
      <c r="S6">
        <v>400009</v>
      </c>
      <c r="T6" t="s">
        <v>410</v>
      </c>
    </row>
    <row r="7" spans="1:20" x14ac:dyDescent="0.25">
      <c r="A7" t="s">
        <v>282</v>
      </c>
      <c r="B7" t="str">
        <f t="shared" si="0"/>
        <v>API</v>
      </c>
      <c r="G7" t="s">
        <v>361</v>
      </c>
      <c r="H7">
        <v>500928</v>
      </c>
      <c r="I7">
        <v>6</v>
      </c>
      <c r="L7" t="str">
        <f t="shared" si="1"/>
        <v>Seriola</v>
      </c>
      <c r="S7">
        <v>400010</v>
      </c>
      <c r="T7" t="s">
        <v>411</v>
      </c>
    </row>
    <row r="8" spans="1:20" x14ac:dyDescent="0.25">
      <c r="A8" t="s">
        <v>257</v>
      </c>
      <c r="B8" t="str">
        <f t="shared" si="0"/>
        <v>ASK</v>
      </c>
      <c r="G8" t="s">
        <v>282</v>
      </c>
      <c r="H8">
        <v>400010</v>
      </c>
      <c r="I8">
        <v>5</v>
      </c>
      <c r="L8" t="str">
        <f t="shared" si="1"/>
        <v>Scyliorhinidae</v>
      </c>
      <c r="S8">
        <v>400011</v>
      </c>
      <c r="T8" t="s">
        <v>412</v>
      </c>
    </row>
    <row r="9" spans="1:20" x14ac:dyDescent="0.25">
      <c r="A9" t="s">
        <v>343</v>
      </c>
      <c r="B9" t="str">
        <f t="shared" si="0"/>
        <v>AWI</v>
      </c>
      <c r="G9" t="s">
        <v>257</v>
      </c>
      <c r="H9">
        <v>400015</v>
      </c>
      <c r="I9">
        <v>5</v>
      </c>
      <c r="L9" t="str">
        <f t="shared" si="1"/>
        <v>Squatinidae</v>
      </c>
      <c r="S9">
        <v>400012</v>
      </c>
      <c r="T9" t="s">
        <v>413</v>
      </c>
    </row>
    <row r="10" spans="1:20" x14ac:dyDescent="0.25">
      <c r="A10" t="s">
        <v>338</v>
      </c>
      <c r="B10" t="str">
        <f t="shared" si="0"/>
        <v>BAZ</v>
      </c>
      <c r="G10" t="s">
        <v>175</v>
      </c>
      <c r="H10">
        <v>600146</v>
      </c>
      <c r="I10">
        <v>1</v>
      </c>
      <c r="J10" t="s">
        <v>401</v>
      </c>
      <c r="L10" t="str">
        <f t="shared" si="1"/>
        <v>Thunnus obesus</v>
      </c>
      <c r="S10">
        <v>400013</v>
      </c>
      <c r="T10" t="s">
        <v>414</v>
      </c>
    </row>
    <row r="11" spans="1:20" x14ac:dyDescent="0.25">
      <c r="A11" t="s">
        <v>329</v>
      </c>
      <c r="B11" t="str">
        <f t="shared" si="0"/>
        <v>BEN</v>
      </c>
      <c r="G11" t="s">
        <v>167</v>
      </c>
      <c r="H11">
        <v>600147</v>
      </c>
      <c r="I11">
        <v>1</v>
      </c>
      <c r="L11" t="str">
        <f t="shared" si="1"/>
        <v>Thunnus thynnus</v>
      </c>
      <c r="S11">
        <v>400015</v>
      </c>
      <c r="T11" t="s">
        <v>415</v>
      </c>
    </row>
    <row r="12" spans="1:20" x14ac:dyDescent="0.25">
      <c r="A12" t="s">
        <v>175</v>
      </c>
      <c r="B12" t="str">
        <f t="shared" si="0"/>
        <v>BET</v>
      </c>
      <c r="G12" t="s">
        <v>190</v>
      </c>
      <c r="H12">
        <v>400419</v>
      </c>
      <c r="I12">
        <v>2</v>
      </c>
      <c r="J12" t="s">
        <v>402</v>
      </c>
      <c r="L12" t="str">
        <f t="shared" si="1"/>
        <v>Istiophoridae</v>
      </c>
      <c r="S12">
        <v>400020</v>
      </c>
      <c r="T12" t="s">
        <v>416</v>
      </c>
    </row>
    <row r="13" spans="1:20" x14ac:dyDescent="0.25">
      <c r="A13" t="s">
        <v>167</v>
      </c>
      <c r="B13" t="str">
        <f t="shared" si="0"/>
        <v>BFT</v>
      </c>
      <c r="G13" t="s">
        <v>171</v>
      </c>
      <c r="H13">
        <v>600144</v>
      </c>
      <c r="I13">
        <v>4</v>
      </c>
      <c r="J13" t="s">
        <v>401</v>
      </c>
      <c r="L13" t="str">
        <f t="shared" si="1"/>
        <v>Thunnus atlanticus</v>
      </c>
      <c r="S13">
        <v>400206</v>
      </c>
      <c r="T13" t="s">
        <v>417</v>
      </c>
    </row>
    <row r="14" spans="1:20" x14ac:dyDescent="0.25">
      <c r="A14" t="s">
        <v>190</v>
      </c>
      <c r="B14" t="str">
        <f t="shared" si="0"/>
        <v>BIL</v>
      </c>
      <c r="G14" t="s">
        <v>193</v>
      </c>
      <c r="H14">
        <v>600217</v>
      </c>
      <c r="I14">
        <v>2</v>
      </c>
      <c r="J14" t="s">
        <v>403</v>
      </c>
      <c r="L14" t="str">
        <f t="shared" si="1"/>
        <v>Istiompax indica</v>
      </c>
      <c r="S14">
        <v>400207</v>
      </c>
      <c r="T14" t="s">
        <v>418</v>
      </c>
    </row>
    <row r="15" spans="1:20" x14ac:dyDescent="0.25">
      <c r="A15" t="s">
        <v>171</v>
      </c>
      <c r="B15" t="str">
        <f t="shared" si="0"/>
        <v>BLF</v>
      </c>
      <c r="G15" t="s">
        <v>268</v>
      </c>
      <c r="H15">
        <v>600877</v>
      </c>
      <c r="I15">
        <v>5</v>
      </c>
      <c r="L15" t="str">
        <f t="shared" si="1"/>
        <v>Carcharhinus melanopterus</v>
      </c>
      <c r="S15">
        <v>400319</v>
      </c>
      <c r="T15" t="s">
        <v>419</v>
      </c>
    </row>
    <row r="16" spans="1:20" x14ac:dyDescent="0.25">
      <c r="A16" t="s">
        <v>193</v>
      </c>
      <c r="B16" t="str">
        <f t="shared" si="0"/>
        <v>BLM</v>
      </c>
      <c r="G16" t="s">
        <v>191</v>
      </c>
      <c r="H16">
        <v>600093</v>
      </c>
      <c r="I16">
        <v>4</v>
      </c>
      <c r="L16" t="str">
        <f t="shared" si="1"/>
        <v>Auxis rochei</v>
      </c>
      <c r="S16">
        <v>400360</v>
      </c>
      <c r="T16" t="s">
        <v>420</v>
      </c>
    </row>
    <row r="17" spans="1:20" x14ac:dyDescent="0.25">
      <c r="A17" t="s">
        <v>268</v>
      </c>
      <c r="B17" t="str">
        <f t="shared" si="0"/>
        <v>BLR</v>
      </c>
      <c r="G17" t="s">
        <v>168</v>
      </c>
      <c r="H17">
        <v>600115</v>
      </c>
      <c r="I17">
        <v>4</v>
      </c>
      <c r="L17" t="str">
        <f t="shared" si="1"/>
        <v>Sarda sarda</v>
      </c>
      <c r="S17">
        <v>400415</v>
      </c>
      <c r="T17" t="s">
        <v>421</v>
      </c>
    </row>
    <row r="18" spans="1:20" x14ac:dyDescent="0.25">
      <c r="A18" t="s">
        <v>191</v>
      </c>
      <c r="B18" t="str">
        <f t="shared" si="0"/>
        <v>BLT</v>
      </c>
      <c r="G18" t="s">
        <v>174</v>
      </c>
      <c r="H18">
        <v>600108</v>
      </c>
      <c r="I18">
        <v>4</v>
      </c>
      <c r="L18" t="str">
        <f t="shared" si="1"/>
        <v>Orcynopsis unicolor</v>
      </c>
      <c r="S18">
        <v>400416</v>
      </c>
      <c r="T18" t="s">
        <v>422</v>
      </c>
    </row>
    <row r="19" spans="1:20" x14ac:dyDescent="0.25">
      <c r="A19" t="s">
        <v>168</v>
      </c>
      <c r="B19" t="str">
        <f t="shared" si="0"/>
        <v>BON</v>
      </c>
      <c r="G19" t="s">
        <v>230</v>
      </c>
      <c r="H19">
        <v>600864</v>
      </c>
      <c r="I19">
        <v>5</v>
      </c>
      <c r="L19" t="str">
        <f t="shared" si="1"/>
        <v>Carcharhinus brachyurus</v>
      </c>
      <c r="S19">
        <v>400419</v>
      </c>
      <c r="T19" t="s">
        <v>423</v>
      </c>
    </row>
    <row r="20" spans="1:20" x14ac:dyDescent="0.25">
      <c r="A20" t="s">
        <v>174</v>
      </c>
      <c r="B20" t="str">
        <f t="shared" si="0"/>
        <v>BOP</v>
      </c>
      <c r="G20" t="s">
        <v>184</v>
      </c>
      <c r="H20">
        <v>600119</v>
      </c>
      <c r="I20">
        <v>4</v>
      </c>
      <c r="L20" t="str">
        <f t="shared" si="1"/>
        <v>Scomberomorus brasiliensis</v>
      </c>
      <c r="S20">
        <v>400488</v>
      </c>
      <c r="T20" t="s">
        <v>424</v>
      </c>
    </row>
    <row r="21" spans="1:20" x14ac:dyDescent="0.25">
      <c r="A21" t="s">
        <v>230</v>
      </c>
      <c r="B21" t="str">
        <f t="shared" si="0"/>
        <v>BRO</v>
      </c>
      <c r="G21" t="s">
        <v>306</v>
      </c>
      <c r="H21">
        <v>600646</v>
      </c>
      <c r="I21">
        <v>6</v>
      </c>
      <c r="L21" t="str">
        <f t="shared" si="1"/>
        <v>Aphanopus carbo</v>
      </c>
      <c r="S21">
        <v>500107</v>
      </c>
      <c r="T21" t="s">
        <v>425</v>
      </c>
    </row>
    <row r="22" spans="1:20" x14ac:dyDescent="0.25">
      <c r="A22" t="s">
        <v>184</v>
      </c>
      <c r="B22" t="str">
        <f t="shared" si="0"/>
        <v>BRS</v>
      </c>
      <c r="G22" t="s">
        <v>202</v>
      </c>
      <c r="H22">
        <v>600898</v>
      </c>
      <c r="I22">
        <v>3</v>
      </c>
      <c r="J22" t="s">
        <v>400</v>
      </c>
      <c r="L22" t="str">
        <f t="shared" si="1"/>
        <v>Prionace glauca</v>
      </c>
      <c r="S22">
        <v>500348</v>
      </c>
      <c r="T22" t="s">
        <v>426</v>
      </c>
    </row>
    <row r="23" spans="1:20" x14ac:dyDescent="0.25">
      <c r="A23" t="s">
        <v>306</v>
      </c>
      <c r="B23" t="str">
        <f t="shared" si="0"/>
        <v>BSF</v>
      </c>
      <c r="G23" t="s">
        <v>221</v>
      </c>
      <c r="H23">
        <v>600090</v>
      </c>
      <c r="I23">
        <v>5</v>
      </c>
      <c r="L23" t="str">
        <f t="shared" si="1"/>
        <v>Cetorhinus maximus</v>
      </c>
      <c r="S23">
        <v>500358</v>
      </c>
      <c r="T23" t="s">
        <v>427</v>
      </c>
    </row>
    <row r="24" spans="1:20" x14ac:dyDescent="0.25">
      <c r="A24" t="s">
        <v>202</v>
      </c>
      <c r="B24" t="str">
        <f t="shared" si="0"/>
        <v>BSH</v>
      </c>
      <c r="G24" t="s">
        <v>208</v>
      </c>
      <c r="H24">
        <v>602534</v>
      </c>
      <c r="I24">
        <v>5</v>
      </c>
      <c r="L24" t="str">
        <f t="shared" si="1"/>
        <v>Alopias superciliosus</v>
      </c>
      <c r="S24">
        <v>500487</v>
      </c>
      <c r="T24" t="s">
        <v>428</v>
      </c>
    </row>
    <row r="25" spans="1:20" x14ac:dyDescent="0.25">
      <c r="A25" t="s">
        <v>221</v>
      </c>
      <c r="B25" t="str">
        <f t="shared" si="0"/>
        <v>BSK</v>
      </c>
      <c r="G25" t="s">
        <v>281</v>
      </c>
      <c r="H25">
        <v>600100</v>
      </c>
      <c r="I25">
        <v>4</v>
      </c>
      <c r="L25" t="str">
        <f t="shared" si="1"/>
        <v>Gasterochisma melampus</v>
      </c>
      <c r="S25">
        <v>500639</v>
      </c>
      <c r="T25" t="s">
        <v>429</v>
      </c>
    </row>
    <row r="26" spans="1:20" x14ac:dyDescent="0.25">
      <c r="A26" t="s">
        <v>208</v>
      </c>
      <c r="B26" t="str">
        <f t="shared" si="0"/>
        <v>BTH</v>
      </c>
      <c r="G26" t="s">
        <v>181</v>
      </c>
      <c r="H26">
        <v>600216</v>
      </c>
      <c r="I26">
        <v>2</v>
      </c>
      <c r="L26" t="str">
        <f t="shared" si="1"/>
        <v>Makaira nigricans</v>
      </c>
      <c r="S26">
        <v>500640</v>
      </c>
      <c r="T26" t="s">
        <v>430</v>
      </c>
    </row>
    <row r="27" spans="1:20" x14ac:dyDescent="0.25">
      <c r="A27" t="s">
        <v>281</v>
      </c>
      <c r="B27" t="str">
        <f t="shared" si="0"/>
        <v>BUK</v>
      </c>
      <c r="G27" t="s">
        <v>231</v>
      </c>
      <c r="H27">
        <v>500816</v>
      </c>
      <c r="I27">
        <v>5</v>
      </c>
      <c r="L27" t="str">
        <f t="shared" si="1"/>
        <v>Carcharhinus</v>
      </c>
      <c r="S27">
        <v>500642</v>
      </c>
      <c r="T27" t="s">
        <v>431</v>
      </c>
    </row>
    <row r="28" spans="1:20" x14ac:dyDescent="0.25">
      <c r="A28" t="s">
        <v>181</v>
      </c>
      <c r="B28" t="str">
        <f t="shared" si="0"/>
        <v>BUM</v>
      </c>
      <c r="G28" t="s">
        <v>232</v>
      </c>
      <c r="H28">
        <v>500816</v>
      </c>
      <c r="I28">
        <v>5</v>
      </c>
      <c r="L28" t="str">
        <f t="shared" si="1"/>
        <v>Carcharhinus</v>
      </c>
      <c r="S28">
        <v>500693</v>
      </c>
      <c r="T28" t="s">
        <v>432</v>
      </c>
    </row>
    <row r="29" spans="1:20" x14ac:dyDescent="0.25">
      <c r="A29" t="s">
        <v>332</v>
      </c>
      <c r="B29" t="str">
        <f t="shared" si="0"/>
        <v>BVP</v>
      </c>
      <c r="C29" t="s">
        <v>380</v>
      </c>
      <c r="D29" t="s">
        <v>381</v>
      </c>
      <c r="G29" t="s">
        <v>213</v>
      </c>
      <c r="H29">
        <v>600873</v>
      </c>
      <c r="I29">
        <v>5</v>
      </c>
      <c r="L29" t="str">
        <f t="shared" si="1"/>
        <v>Carcharhinus leucas</v>
      </c>
      <c r="S29">
        <v>500814</v>
      </c>
      <c r="T29" t="s">
        <v>433</v>
      </c>
    </row>
    <row r="30" spans="1:20" x14ac:dyDescent="0.25">
      <c r="A30" t="s">
        <v>345</v>
      </c>
      <c r="B30" t="str">
        <f t="shared" si="0"/>
        <v>CBA</v>
      </c>
      <c r="C30" t="s">
        <v>378</v>
      </c>
      <c r="D30" t="s">
        <v>379</v>
      </c>
      <c r="G30" t="s">
        <v>237</v>
      </c>
      <c r="H30">
        <v>600870</v>
      </c>
      <c r="I30">
        <v>5</v>
      </c>
      <c r="L30" t="str">
        <f t="shared" si="1"/>
        <v>Carcharhinus galapagensis</v>
      </c>
      <c r="S30">
        <v>500816</v>
      </c>
      <c r="T30" t="s">
        <v>434</v>
      </c>
    </row>
    <row r="31" spans="1:20" x14ac:dyDescent="0.25">
      <c r="A31" t="s">
        <v>231</v>
      </c>
      <c r="B31" t="str">
        <f t="shared" si="0"/>
        <v>CCA</v>
      </c>
      <c r="G31" t="s">
        <v>210</v>
      </c>
      <c r="H31">
        <v>600874</v>
      </c>
      <c r="I31">
        <v>5</v>
      </c>
      <c r="L31" t="str">
        <f t="shared" si="1"/>
        <v>Carcharhinus limbatus</v>
      </c>
      <c r="S31">
        <v>500928</v>
      </c>
      <c r="T31" t="s">
        <v>435</v>
      </c>
    </row>
    <row r="32" spans="1:20" x14ac:dyDescent="0.25">
      <c r="A32" t="s">
        <v>232</v>
      </c>
      <c r="B32" t="str">
        <f t="shared" si="0"/>
        <v>CCB</v>
      </c>
      <c r="G32" t="s">
        <v>260</v>
      </c>
      <c r="H32">
        <v>500816</v>
      </c>
      <c r="I32">
        <v>5</v>
      </c>
      <c r="L32" t="str">
        <f t="shared" si="1"/>
        <v>Carcharhinus</v>
      </c>
      <c r="S32">
        <v>501163</v>
      </c>
      <c r="T32" t="s">
        <v>436</v>
      </c>
    </row>
    <row r="33" spans="1:20" x14ac:dyDescent="0.25">
      <c r="A33" t="s">
        <v>213</v>
      </c>
      <c r="B33" t="str">
        <f t="shared" si="0"/>
        <v>CCE</v>
      </c>
      <c r="G33" t="s">
        <v>261</v>
      </c>
      <c r="H33">
        <v>500816</v>
      </c>
      <c r="I33">
        <v>5</v>
      </c>
      <c r="L33" t="str">
        <f t="shared" si="1"/>
        <v>Carcharhinus</v>
      </c>
      <c r="S33">
        <v>501905</v>
      </c>
      <c r="T33" t="s">
        <v>437</v>
      </c>
    </row>
    <row r="34" spans="1:20" x14ac:dyDescent="0.25">
      <c r="A34" t="s">
        <v>237</v>
      </c>
      <c r="B34" t="str">
        <f t="shared" si="0"/>
        <v>CCG</v>
      </c>
      <c r="G34" t="s">
        <v>201</v>
      </c>
      <c r="H34">
        <v>600880</v>
      </c>
      <c r="I34">
        <v>5</v>
      </c>
      <c r="L34" t="str">
        <f t="shared" si="1"/>
        <v>Carcharhinus plumbeus</v>
      </c>
      <c r="S34">
        <v>600006</v>
      </c>
      <c r="T34" t="s">
        <v>438</v>
      </c>
    </row>
    <row r="35" spans="1:20" x14ac:dyDescent="0.25">
      <c r="A35" t="s">
        <v>210</v>
      </c>
      <c r="B35" t="str">
        <f t="shared" si="0"/>
        <v>CCL</v>
      </c>
      <c r="G35" t="s">
        <v>249</v>
      </c>
      <c r="H35">
        <v>600881</v>
      </c>
      <c r="I35">
        <v>5</v>
      </c>
      <c r="L35" t="str">
        <f t="shared" si="1"/>
        <v>Carcharhinus porosus</v>
      </c>
      <c r="S35">
        <v>600071</v>
      </c>
      <c r="T35" t="s">
        <v>439</v>
      </c>
    </row>
    <row r="36" spans="1:20" x14ac:dyDescent="0.25">
      <c r="A36" t="s">
        <v>260</v>
      </c>
      <c r="B36" t="str">
        <f t="shared" si="0"/>
        <v>CCN</v>
      </c>
      <c r="G36" t="s">
        <v>211</v>
      </c>
      <c r="H36">
        <v>500816</v>
      </c>
      <c r="I36">
        <v>5</v>
      </c>
      <c r="L36" t="str">
        <f t="shared" si="1"/>
        <v>Carcharhinus</v>
      </c>
      <c r="S36">
        <v>600078</v>
      </c>
      <c r="T36" t="s">
        <v>440</v>
      </c>
    </row>
    <row r="37" spans="1:20" x14ac:dyDescent="0.25">
      <c r="A37" t="s">
        <v>261</v>
      </c>
      <c r="B37" t="str">
        <f t="shared" si="0"/>
        <v>CCO</v>
      </c>
      <c r="G37" t="s">
        <v>235</v>
      </c>
      <c r="H37">
        <v>600747</v>
      </c>
      <c r="I37">
        <v>5</v>
      </c>
      <c r="L37" t="str">
        <f t="shared" si="1"/>
        <v>Carcharias taurus</v>
      </c>
      <c r="S37">
        <v>600088</v>
      </c>
      <c r="T37" t="s">
        <v>441</v>
      </c>
    </row>
    <row r="38" spans="1:20" x14ac:dyDescent="0.25">
      <c r="A38" t="s">
        <v>201</v>
      </c>
      <c r="B38" t="str">
        <f t="shared" si="0"/>
        <v>CCP</v>
      </c>
      <c r="G38" t="s">
        <v>185</v>
      </c>
      <c r="H38">
        <v>600134</v>
      </c>
      <c r="I38">
        <v>4</v>
      </c>
      <c r="L38" t="str">
        <f t="shared" si="1"/>
        <v>Scomberomorus regalis</v>
      </c>
      <c r="S38">
        <v>600089</v>
      </c>
      <c r="T38" t="s">
        <v>442</v>
      </c>
    </row>
    <row r="39" spans="1:20" x14ac:dyDescent="0.25">
      <c r="A39" t="s">
        <v>249</v>
      </c>
      <c r="B39" t="str">
        <f t="shared" si="0"/>
        <v>CCR</v>
      </c>
      <c r="G39" t="s">
        <v>243</v>
      </c>
      <c r="H39">
        <v>600656</v>
      </c>
      <c r="I39">
        <v>5</v>
      </c>
      <c r="L39" t="str">
        <f t="shared" si="1"/>
        <v>Centroscyllium fabricii</v>
      </c>
      <c r="S39">
        <v>600090</v>
      </c>
      <c r="T39" t="s">
        <v>443</v>
      </c>
    </row>
    <row r="40" spans="1:20" x14ac:dyDescent="0.25">
      <c r="A40" t="s">
        <v>211</v>
      </c>
      <c r="B40" t="str">
        <f t="shared" si="0"/>
        <v>CCS</v>
      </c>
      <c r="G40" t="s">
        <v>341</v>
      </c>
      <c r="H40">
        <v>600121</v>
      </c>
      <c r="I40">
        <v>4</v>
      </c>
      <c r="L40" t="str">
        <f t="shared" si="1"/>
        <v>Scomberomorus commerson</v>
      </c>
      <c r="S40">
        <v>600091</v>
      </c>
      <c r="T40" t="s">
        <v>444</v>
      </c>
    </row>
    <row r="41" spans="1:20" x14ac:dyDescent="0.25">
      <c r="A41" t="s">
        <v>235</v>
      </c>
      <c r="B41" t="str">
        <f t="shared" si="0"/>
        <v>CCT</v>
      </c>
      <c r="G41" t="s">
        <v>254</v>
      </c>
      <c r="H41">
        <v>600650</v>
      </c>
      <c r="I41">
        <v>5</v>
      </c>
      <c r="L41" t="str">
        <f t="shared" si="1"/>
        <v>Centrophorus lusitanicus</v>
      </c>
      <c r="S41">
        <v>600093</v>
      </c>
      <c r="T41" t="s">
        <v>445</v>
      </c>
    </row>
    <row r="42" spans="1:20" x14ac:dyDescent="0.25">
      <c r="A42" t="s">
        <v>185</v>
      </c>
      <c r="B42" t="str">
        <f t="shared" si="0"/>
        <v>CER</v>
      </c>
      <c r="G42" t="s">
        <v>266</v>
      </c>
      <c r="H42">
        <v>602540</v>
      </c>
      <c r="I42">
        <v>5</v>
      </c>
      <c r="L42" t="str">
        <f t="shared" si="1"/>
        <v>Mustelus henlei</v>
      </c>
      <c r="S42">
        <v>600094</v>
      </c>
      <c r="T42" t="s">
        <v>446</v>
      </c>
    </row>
    <row r="43" spans="1:20" x14ac:dyDescent="0.25">
      <c r="A43" t="s">
        <v>243</v>
      </c>
      <c r="B43" t="str">
        <f t="shared" si="0"/>
        <v>CFB</v>
      </c>
      <c r="G43" t="s">
        <v>362</v>
      </c>
      <c r="H43">
        <v>400415</v>
      </c>
      <c r="I43">
        <v>6</v>
      </c>
      <c r="L43" t="str">
        <f t="shared" si="1"/>
        <v>Trichiuridae</v>
      </c>
      <c r="S43">
        <v>600096</v>
      </c>
      <c r="T43" t="s">
        <v>447</v>
      </c>
    </row>
    <row r="44" spans="1:20" x14ac:dyDescent="0.25">
      <c r="A44" t="s">
        <v>312</v>
      </c>
      <c r="B44" t="str">
        <f t="shared" si="0"/>
        <v>CFW</v>
      </c>
      <c r="C44" t="s">
        <v>382</v>
      </c>
      <c r="D44" t="s">
        <v>385</v>
      </c>
      <c r="G44" t="s">
        <v>325</v>
      </c>
      <c r="H44">
        <v>600071</v>
      </c>
      <c r="I44">
        <v>6</v>
      </c>
      <c r="L44" t="str">
        <f t="shared" si="1"/>
        <v>Caranx hippos</v>
      </c>
      <c r="S44">
        <v>600097</v>
      </c>
      <c r="T44" t="s">
        <v>448</v>
      </c>
    </row>
    <row r="45" spans="1:20" x14ac:dyDescent="0.25">
      <c r="A45" t="s">
        <v>313</v>
      </c>
      <c r="B45" t="str">
        <f t="shared" si="0"/>
        <v>CNT</v>
      </c>
      <c r="C45" t="s">
        <v>383</v>
      </c>
      <c r="D45" t="s">
        <v>386</v>
      </c>
      <c r="G45" t="s">
        <v>363</v>
      </c>
      <c r="H45">
        <v>300008</v>
      </c>
      <c r="I45">
        <v>5</v>
      </c>
      <c r="L45" t="str">
        <f t="shared" si="1"/>
        <v>Carcharhiniformes</v>
      </c>
      <c r="S45">
        <v>600100</v>
      </c>
      <c r="T45" t="s">
        <v>449</v>
      </c>
    </row>
    <row r="46" spans="1:20" x14ac:dyDescent="0.25">
      <c r="A46" t="s">
        <v>341</v>
      </c>
      <c r="B46" t="str">
        <f t="shared" si="0"/>
        <v>COM</v>
      </c>
      <c r="G46" t="s">
        <v>364</v>
      </c>
      <c r="H46">
        <v>200007</v>
      </c>
      <c r="I46">
        <v>5</v>
      </c>
      <c r="L46" t="e">
        <f t="shared" si="1"/>
        <v>#N/A</v>
      </c>
      <c r="S46">
        <v>600107</v>
      </c>
      <c r="T46" t="s">
        <v>450</v>
      </c>
    </row>
    <row r="47" spans="1:20" x14ac:dyDescent="0.25">
      <c r="A47" t="s">
        <v>254</v>
      </c>
      <c r="B47" t="str">
        <f t="shared" si="0"/>
        <v>CPL</v>
      </c>
      <c r="G47" t="s">
        <v>222</v>
      </c>
      <c r="H47">
        <v>600662</v>
      </c>
      <c r="I47">
        <v>5</v>
      </c>
      <c r="L47" t="str">
        <f t="shared" si="1"/>
        <v>Centroscymnus coelolepis</v>
      </c>
      <c r="S47">
        <v>600108</v>
      </c>
      <c r="T47" t="s">
        <v>451</v>
      </c>
    </row>
    <row r="48" spans="1:20" x14ac:dyDescent="0.25">
      <c r="A48" t="s">
        <v>266</v>
      </c>
      <c r="B48" t="str">
        <f t="shared" si="0"/>
        <v>CTK</v>
      </c>
      <c r="G48" t="s">
        <v>244</v>
      </c>
      <c r="H48">
        <v>600663</v>
      </c>
      <c r="I48">
        <v>5</v>
      </c>
      <c r="L48" t="str">
        <f t="shared" si="1"/>
        <v>Centroselachus crepidater</v>
      </c>
      <c r="S48">
        <v>600115</v>
      </c>
      <c r="T48" t="s">
        <v>452</v>
      </c>
    </row>
    <row r="49" spans="1:20" x14ac:dyDescent="0.25">
      <c r="A49" t="s">
        <v>325</v>
      </c>
      <c r="B49" t="str">
        <f t="shared" si="0"/>
        <v>CVJ</v>
      </c>
      <c r="G49" t="s">
        <v>256</v>
      </c>
      <c r="H49">
        <v>600670</v>
      </c>
      <c r="I49">
        <v>5</v>
      </c>
      <c r="L49" t="str">
        <f t="shared" si="1"/>
        <v>Deania calcea</v>
      </c>
      <c r="S49">
        <v>600117</v>
      </c>
      <c r="T49" t="s">
        <v>453</v>
      </c>
    </row>
    <row r="50" spans="1:20" x14ac:dyDescent="0.25">
      <c r="A50" t="s">
        <v>337</v>
      </c>
      <c r="B50" t="str">
        <f t="shared" si="0"/>
        <v>CWO</v>
      </c>
      <c r="G50" t="s">
        <v>220</v>
      </c>
      <c r="H50">
        <v>300009</v>
      </c>
      <c r="I50">
        <v>5</v>
      </c>
      <c r="L50" t="str">
        <f t="shared" si="1"/>
        <v>Squaliformes</v>
      </c>
      <c r="S50">
        <v>600118</v>
      </c>
      <c r="T50" t="s">
        <v>454</v>
      </c>
    </row>
    <row r="51" spans="1:20" x14ac:dyDescent="0.25">
      <c r="A51" t="s">
        <v>222</v>
      </c>
      <c r="B51" t="str">
        <f t="shared" si="0"/>
        <v>CYO</v>
      </c>
      <c r="G51" t="s">
        <v>219</v>
      </c>
      <c r="H51">
        <v>600139</v>
      </c>
      <c r="I51">
        <v>5</v>
      </c>
      <c r="L51" t="str">
        <f t="shared" si="1"/>
        <v>Squalus acanthias</v>
      </c>
      <c r="S51">
        <v>600119</v>
      </c>
      <c r="T51" t="s">
        <v>455</v>
      </c>
    </row>
    <row r="52" spans="1:20" x14ac:dyDescent="0.25">
      <c r="A52" t="s">
        <v>244</v>
      </c>
      <c r="B52" t="str">
        <f t="shared" si="0"/>
        <v>CYP</v>
      </c>
      <c r="G52" t="s">
        <v>224</v>
      </c>
      <c r="H52">
        <v>400013</v>
      </c>
      <c r="I52">
        <v>5</v>
      </c>
      <c r="L52" t="str">
        <f t="shared" si="1"/>
        <v>Squalidae</v>
      </c>
      <c r="S52">
        <v>600120</v>
      </c>
      <c r="T52" t="s">
        <v>456</v>
      </c>
    </row>
    <row r="53" spans="1:20" x14ac:dyDescent="0.25">
      <c r="A53" t="s">
        <v>256</v>
      </c>
      <c r="B53" t="str">
        <f t="shared" si="0"/>
        <v>DCA</v>
      </c>
      <c r="G53" t="s">
        <v>206</v>
      </c>
      <c r="H53">
        <v>500107</v>
      </c>
      <c r="I53">
        <v>5</v>
      </c>
      <c r="L53" t="str">
        <f t="shared" si="1"/>
        <v>Squalus</v>
      </c>
      <c r="S53">
        <v>600121</v>
      </c>
      <c r="T53" t="s">
        <v>457</v>
      </c>
    </row>
    <row r="54" spans="1:20" x14ac:dyDescent="0.25">
      <c r="A54" t="s">
        <v>220</v>
      </c>
      <c r="B54" t="str">
        <f t="shared" si="0"/>
        <v>DGH</v>
      </c>
      <c r="G54" t="s">
        <v>241</v>
      </c>
      <c r="H54">
        <v>600006</v>
      </c>
      <c r="I54">
        <v>6</v>
      </c>
      <c r="L54" t="str">
        <f t="shared" si="1"/>
        <v>Coryphaena hippurus</v>
      </c>
      <c r="S54">
        <v>600126</v>
      </c>
      <c r="T54" t="s">
        <v>458</v>
      </c>
    </row>
    <row r="55" spans="1:20" x14ac:dyDescent="0.25">
      <c r="A55" t="s">
        <v>219</v>
      </c>
      <c r="B55" t="str">
        <f t="shared" si="0"/>
        <v>DGS</v>
      </c>
      <c r="G55" t="s">
        <v>263</v>
      </c>
      <c r="H55">
        <v>400013</v>
      </c>
      <c r="I55">
        <v>5</v>
      </c>
      <c r="L55" t="str">
        <f t="shared" si="1"/>
        <v>Squalidae</v>
      </c>
      <c r="S55">
        <v>600131</v>
      </c>
      <c r="T55" t="s">
        <v>459</v>
      </c>
    </row>
    <row r="56" spans="1:20" x14ac:dyDescent="0.25">
      <c r="A56" t="s">
        <v>224</v>
      </c>
      <c r="B56" t="str">
        <f t="shared" si="0"/>
        <v>DGX</v>
      </c>
      <c r="G56" t="s">
        <v>216</v>
      </c>
      <c r="H56">
        <v>600878</v>
      </c>
      <c r="I56">
        <v>5</v>
      </c>
      <c r="L56" t="str">
        <f t="shared" si="1"/>
        <v>Carcharhinus obscurus</v>
      </c>
      <c r="S56">
        <v>600134</v>
      </c>
      <c r="T56" t="s">
        <v>460</v>
      </c>
    </row>
    <row r="57" spans="1:20" x14ac:dyDescent="0.25">
      <c r="A57" t="s">
        <v>206</v>
      </c>
      <c r="B57" t="str">
        <f t="shared" si="0"/>
        <v>DGZ</v>
      </c>
      <c r="G57" t="s">
        <v>280</v>
      </c>
      <c r="H57">
        <v>500642</v>
      </c>
      <c r="I57">
        <v>5</v>
      </c>
      <c r="L57" t="str">
        <f t="shared" si="1"/>
        <v>Etmopterus</v>
      </c>
      <c r="S57">
        <v>600138</v>
      </c>
      <c r="T57" t="s">
        <v>461</v>
      </c>
    </row>
    <row r="58" spans="1:20" x14ac:dyDescent="0.25">
      <c r="A58" t="s">
        <v>314</v>
      </c>
      <c r="B58" t="str">
        <f t="shared" si="0"/>
        <v>DIY</v>
      </c>
      <c r="C58" t="s">
        <v>384</v>
      </c>
      <c r="D58" t="s">
        <v>387</v>
      </c>
      <c r="G58" t="s">
        <v>269</v>
      </c>
      <c r="H58">
        <v>600687</v>
      </c>
      <c r="I58">
        <v>5</v>
      </c>
      <c r="L58" t="str">
        <f t="shared" si="1"/>
        <v>Etmopterus spinax</v>
      </c>
      <c r="S58">
        <v>600139</v>
      </c>
      <c r="T58" t="s">
        <v>462</v>
      </c>
    </row>
    <row r="59" spans="1:20" x14ac:dyDescent="0.25">
      <c r="A59" t="s">
        <v>241</v>
      </c>
      <c r="B59" t="str">
        <f t="shared" si="0"/>
        <v>DOL</v>
      </c>
      <c r="G59" t="s">
        <v>207</v>
      </c>
      <c r="H59">
        <v>600868</v>
      </c>
      <c r="I59">
        <v>5</v>
      </c>
      <c r="L59" t="str">
        <f t="shared" si="1"/>
        <v>Carcharhinus falciformis</v>
      </c>
      <c r="S59">
        <v>600141</v>
      </c>
      <c r="T59" t="s">
        <v>463</v>
      </c>
    </row>
    <row r="60" spans="1:20" x14ac:dyDescent="0.25">
      <c r="A60" t="s">
        <v>263</v>
      </c>
      <c r="B60" t="str">
        <f t="shared" si="0"/>
        <v>DOP</v>
      </c>
      <c r="G60" t="s">
        <v>178</v>
      </c>
      <c r="H60">
        <v>600094</v>
      </c>
      <c r="I60">
        <v>4</v>
      </c>
      <c r="L60" t="str">
        <f t="shared" si="1"/>
        <v>Auxis thazard</v>
      </c>
      <c r="S60">
        <v>600142</v>
      </c>
      <c r="T60" t="s">
        <v>375</v>
      </c>
    </row>
    <row r="61" spans="1:20" x14ac:dyDescent="0.25">
      <c r="A61" t="s">
        <v>216</v>
      </c>
      <c r="B61" t="str">
        <f t="shared" si="0"/>
        <v>DUS</v>
      </c>
      <c r="G61" t="s">
        <v>365</v>
      </c>
      <c r="H61">
        <v>501163</v>
      </c>
      <c r="I61">
        <v>4</v>
      </c>
      <c r="L61" t="str">
        <f t="shared" si="1"/>
        <v>Auxis</v>
      </c>
      <c r="S61">
        <v>600143</v>
      </c>
      <c r="T61" t="s">
        <v>464</v>
      </c>
    </row>
    <row r="62" spans="1:20" x14ac:dyDescent="0.25">
      <c r="A62" t="s">
        <v>280</v>
      </c>
      <c r="B62" t="str">
        <f t="shared" si="0"/>
        <v>ETR</v>
      </c>
      <c r="G62" t="s">
        <v>214</v>
      </c>
      <c r="H62">
        <v>604642</v>
      </c>
      <c r="I62">
        <v>5</v>
      </c>
      <c r="L62" t="str">
        <f t="shared" si="1"/>
        <v>Galeorhinus galeus</v>
      </c>
      <c r="S62">
        <v>600144</v>
      </c>
      <c r="T62" t="s">
        <v>465</v>
      </c>
    </row>
    <row r="63" spans="1:20" x14ac:dyDescent="0.25">
      <c r="A63" t="s">
        <v>269</v>
      </c>
      <c r="B63" t="str">
        <f t="shared" si="0"/>
        <v>ETX</v>
      </c>
      <c r="G63" t="s">
        <v>301</v>
      </c>
      <c r="H63">
        <v>100039</v>
      </c>
      <c r="I63">
        <v>6</v>
      </c>
      <c r="L63" t="str">
        <f t="shared" si="1"/>
        <v>Marine fishes not identified</v>
      </c>
      <c r="S63">
        <v>600145</v>
      </c>
      <c r="T63" t="s">
        <v>466</v>
      </c>
    </row>
    <row r="64" spans="1:20" x14ac:dyDescent="0.25">
      <c r="A64" t="s">
        <v>207</v>
      </c>
      <c r="B64" t="str">
        <f t="shared" si="0"/>
        <v>FAL</v>
      </c>
      <c r="G64" t="s">
        <v>283</v>
      </c>
      <c r="H64">
        <v>500640</v>
      </c>
      <c r="I64">
        <v>5</v>
      </c>
      <c r="L64" t="str">
        <f t="shared" si="1"/>
        <v>Galeus</v>
      </c>
      <c r="S64">
        <v>600146</v>
      </c>
      <c r="T64" t="s">
        <v>467</v>
      </c>
    </row>
    <row r="65" spans="1:20" x14ac:dyDescent="0.25">
      <c r="A65" t="s">
        <v>315</v>
      </c>
      <c r="B65" t="str">
        <f t="shared" si="0"/>
        <v>FLY</v>
      </c>
      <c r="G65" t="s">
        <v>294</v>
      </c>
      <c r="H65">
        <v>601235</v>
      </c>
      <c r="I65">
        <v>6</v>
      </c>
      <c r="L65" t="str">
        <f t="shared" si="1"/>
        <v>Sphyraena barracuda</v>
      </c>
      <c r="S65">
        <v>600147</v>
      </c>
      <c r="T65" t="s">
        <v>468</v>
      </c>
    </row>
    <row r="66" spans="1:20" x14ac:dyDescent="0.25">
      <c r="A66" t="s">
        <v>178</v>
      </c>
      <c r="B66" t="str">
        <f t="shared" ref="B66:B129" si="2">VLOOKUP(A66,G:I,1,FALSE)</f>
        <v>FRI</v>
      </c>
      <c r="G66" t="s">
        <v>226</v>
      </c>
      <c r="H66">
        <v>602532</v>
      </c>
      <c r="I66">
        <v>5</v>
      </c>
      <c r="L66" t="str">
        <f t="shared" si="1"/>
        <v>Ginglymostoma cirratum</v>
      </c>
      <c r="S66">
        <v>600216</v>
      </c>
      <c r="T66" t="s">
        <v>469</v>
      </c>
    </row>
    <row r="67" spans="1:20" x14ac:dyDescent="0.25">
      <c r="A67" t="s">
        <v>214</v>
      </c>
      <c r="B67" t="str">
        <f t="shared" si="2"/>
        <v>GAG</v>
      </c>
      <c r="G67" t="s">
        <v>366</v>
      </c>
      <c r="H67">
        <v>200004</v>
      </c>
      <c r="I67">
        <v>5</v>
      </c>
      <c r="L67" t="str">
        <f t="shared" ref="L67:L99" si="3">VLOOKUP(H67,S:T,2,FALSE)</f>
        <v>Elasmobranchii</v>
      </c>
      <c r="S67">
        <v>600217</v>
      </c>
      <c r="T67" t="s">
        <v>470</v>
      </c>
    </row>
    <row r="68" spans="1:20" x14ac:dyDescent="0.25">
      <c r="A68" t="s">
        <v>301</v>
      </c>
      <c r="B68" t="str">
        <f t="shared" si="2"/>
        <v>GAR</v>
      </c>
      <c r="G68" t="s">
        <v>252</v>
      </c>
      <c r="H68">
        <v>600138</v>
      </c>
      <c r="I68">
        <v>5</v>
      </c>
      <c r="L68" t="str">
        <f t="shared" si="3"/>
        <v>Somniosus microcephalus</v>
      </c>
      <c r="S68">
        <v>600219</v>
      </c>
      <c r="T68" t="s">
        <v>471</v>
      </c>
    </row>
    <row r="69" spans="1:20" x14ac:dyDescent="0.25">
      <c r="A69" t="s">
        <v>283</v>
      </c>
      <c r="B69" t="str">
        <f t="shared" si="2"/>
        <v>GAU</v>
      </c>
      <c r="G69" t="s">
        <v>253</v>
      </c>
      <c r="H69">
        <v>600648</v>
      </c>
      <c r="I69">
        <v>5</v>
      </c>
      <c r="L69" t="str">
        <f t="shared" si="3"/>
        <v>Centrophorus granulosus</v>
      </c>
      <c r="S69">
        <v>600220</v>
      </c>
      <c r="T69" t="s">
        <v>472</v>
      </c>
    </row>
    <row r="70" spans="1:20" x14ac:dyDescent="0.25">
      <c r="A70" t="s">
        <v>294</v>
      </c>
      <c r="B70" t="str">
        <f t="shared" si="2"/>
        <v>GBA</v>
      </c>
      <c r="G70" t="s">
        <v>223</v>
      </c>
      <c r="H70">
        <v>600653</v>
      </c>
      <c r="I70">
        <v>5</v>
      </c>
      <c r="L70" t="str">
        <f t="shared" si="3"/>
        <v>Centrophorus squamosus</v>
      </c>
      <c r="S70">
        <v>600223</v>
      </c>
      <c r="T70" t="s">
        <v>473</v>
      </c>
    </row>
    <row r="71" spans="1:20" x14ac:dyDescent="0.25">
      <c r="A71" t="s">
        <v>316</v>
      </c>
      <c r="B71" t="str">
        <f t="shared" si="2"/>
        <v>GES</v>
      </c>
      <c r="C71" t="s">
        <v>388</v>
      </c>
      <c r="G71" t="s">
        <v>292</v>
      </c>
      <c r="H71">
        <v>600636</v>
      </c>
      <c r="I71">
        <v>5</v>
      </c>
      <c r="L71" t="str">
        <f t="shared" si="3"/>
        <v>Heptranchias perlo</v>
      </c>
      <c r="S71">
        <v>600226</v>
      </c>
      <c r="T71" t="s">
        <v>474</v>
      </c>
    </row>
    <row r="72" spans="1:20" x14ac:dyDescent="0.25">
      <c r="A72" t="s">
        <v>226</v>
      </c>
      <c r="B72" t="str">
        <f t="shared" si="2"/>
        <v>GNC</v>
      </c>
      <c r="G72" t="s">
        <v>334</v>
      </c>
      <c r="H72">
        <v>600096</v>
      </c>
      <c r="I72">
        <v>4</v>
      </c>
      <c r="L72" t="str">
        <f t="shared" si="3"/>
        <v>Euthynnus affinis</v>
      </c>
      <c r="S72">
        <v>600382</v>
      </c>
      <c r="T72" t="s">
        <v>475</v>
      </c>
    </row>
    <row r="73" spans="1:20" x14ac:dyDescent="0.25">
      <c r="A73" t="s">
        <v>252</v>
      </c>
      <c r="B73" t="str">
        <f t="shared" si="2"/>
        <v>GSK</v>
      </c>
      <c r="G73" t="s">
        <v>179</v>
      </c>
      <c r="H73">
        <v>600120</v>
      </c>
      <c r="I73">
        <v>4</v>
      </c>
      <c r="L73" t="str">
        <f t="shared" si="3"/>
        <v>Scomberomorus cavalla</v>
      </c>
      <c r="S73">
        <v>600391</v>
      </c>
      <c r="T73" t="s">
        <v>476</v>
      </c>
    </row>
    <row r="74" spans="1:20" x14ac:dyDescent="0.25">
      <c r="A74" t="s">
        <v>253</v>
      </c>
      <c r="B74" t="str">
        <f t="shared" si="2"/>
        <v>GUP</v>
      </c>
      <c r="G74" t="s">
        <v>189</v>
      </c>
      <c r="H74">
        <v>500487</v>
      </c>
      <c r="I74">
        <v>4</v>
      </c>
      <c r="L74" t="str">
        <f t="shared" si="3"/>
        <v>Scomberomorus</v>
      </c>
      <c r="S74">
        <v>600412</v>
      </c>
      <c r="T74" t="s">
        <v>477</v>
      </c>
    </row>
    <row r="75" spans="1:20" x14ac:dyDescent="0.25">
      <c r="A75" t="s">
        <v>223</v>
      </c>
      <c r="B75" t="str">
        <f t="shared" si="2"/>
        <v>GUQ</v>
      </c>
      <c r="G75" t="s">
        <v>295</v>
      </c>
      <c r="H75">
        <v>601072</v>
      </c>
      <c r="I75">
        <v>6</v>
      </c>
      <c r="L75" t="str">
        <f t="shared" si="3"/>
        <v>Lampris guttatus</v>
      </c>
      <c r="S75">
        <v>600636</v>
      </c>
      <c r="T75" t="s">
        <v>478</v>
      </c>
    </row>
    <row r="76" spans="1:20" x14ac:dyDescent="0.25">
      <c r="A76" t="s">
        <v>328</v>
      </c>
      <c r="B76" t="str">
        <f t="shared" si="2"/>
        <v>HMM</v>
      </c>
      <c r="G76" t="s">
        <v>289</v>
      </c>
      <c r="H76">
        <v>601042</v>
      </c>
      <c r="I76">
        <v>6</v>
      </c>
      <c r="L76" t="str">
        <f t="shared" si="3"/>
        <v>Lepidocybium flavobrunneum</v>
      </c>
      <c r="S76">
        <v>600637</v>
      </c>
      <c r="T76" t="s">
        <v>479</v>
      </c>
    </row>
    <row r="77" spans="1:20" x14ac:dyDescent="0.25">
      <c r="A77" t="s">
        <v>292</v>
      </c>
      <c r="B77" t="str">
        <f t="shared" si="2"/>
        <v>HXT</v>
      </c>
      <c r="G77" t="s">
        <v>302</v>
      </c>
      <c r="H77">
        <v>100039</v>
      </c>
      <c r="I77">
        <v>6</v>
      </c>
      <c r="L77" t="str">
        <f t="shared" si="3"/>
        <v>Marine fishes not identified</v>
      </c>
      <c r="S77">
        <v>600641</v>
      </c>
      <c r="T77" t="s">
        <v>480</v>
      </c>
    </row>
    <row r="78" spans="1:20" x14ac:dyDescent="0.25">
      <c r="A78" t="s">
        <v>334</v>
      </c>
      <c r="B78" t="str">
        <f t="shared" si="2"/>
        <v>KAW</v>
      </c>
      <c r="G78" t="s">
        <v>290</v>
      </c>
      <c r="H78">
        <v>400488</v>
      </c>
      <c r="I78">
        <v>5</v>
      </c>
      <c r="L78" t="str">
        <f t="shared" si="3"/>
        <v>Triakidae</v>
      </c>
      <c r="S78">
        <v>600645</v>
      </c>
      <c r="T78" t="s">
        <v>481</v>
      </c>
    </row>
    <row r="79" spans="1:20" x14ac:dyDescent="0.25">
      <c r="A79" t="s">
        <v>179</v>
      </c>
      <c r="B79" t="str">
        <f t="shared" si="2"/>
        <v>KGM</v>
      </c>
      <c r="G79" t="s">
        <v>203</v>
      </c>
      <c r="H79">
        <v>600753</v>
      </c>
      <c r="I79">
        <v>5</v>
      </c>
      <c r="L79" t="str">
        <f t="shared" si="3"/>
        <v>Isurus paucus</v>
      </c>
      <c r="S79">
        <v>600646</v>
      </c>
      <c r="T79" t="s">
        <v>482</v>
      </c>
    </row>
    <row r="80" spans="1:20" x14ac:dyDescent="0.25">
      <c r="A80" t="s">
        <v>189</v>
      </c>
      <c r="B80" t="str">
        <f t="shared" si="2"/>
        <v>KGX</v>
      </c>
      <c r="G80" t="s">
        <v>274</v>
      </c>
      <c r="H80">
        <v>100039</v>
      </c>
      <c r="I80">
        <v>6</v>
      </c>
      <c r="L80" t="str">
        <f t="shared" si="3"/>
        <v>Marine fishes not identified</v>
      </c>
      <c r="S80">
        <v>600648</v>
      </c>
      <c r="T80" t="s">
        <v>483</v>
      </c>
    </row>
    <row r="81" spans="1:20" x14ac:dyDescent="0.25">
      <c r="A81" t="s">
        <v>295</v>
      </c>
      <c r="B81" t="str">
        <f t="shared" si="2"/>
        <v>LAG</v>
      </c>
      <c r="G81" t="s">
        <v>177</v>
      </c>
      <c r="H81">
        <v>600097</v>
      </c>
      <c r="I81">
        <v>4</v>
      </c>
      <c r="L81" t="str">
        <f t="shared" si="3"/>
        <v>Euthynnus alletteratus</v>
      </c>
      <c r="S81">
        <v>600650</v>
      </c>
      <c r="T81" t="s">
        <v>484</v>
      </c>
    </row>
    <row r="82" spans="1:20" x14ac:dyDescent="0.25">
      <c r="A82" t="s">
        <v>289</v>
      </c>
      <c r="B82" t="str">
        <f t="shared" si="2"/>
        <v>LEC</v>
      </c>
      <c r="G82" t="s">
        <v>367</v>
      </c>
      <c r="H82">
        <v>600118</v>
      </c>
      <c r="I82">
        <v>4</v>
      </c>
      <c r="L82" t="str">
        <f t="shared" si="3"/>
        <v>Scomber scombrus</v>
      </c>
      <c r="S82">
        <v>600653</v>
      </c>
      <c r="T82" t="s">
        <v>485</v>
      </c>
    </row>
    <row r="83" spans="1:20" x14ac:dyDescent="0.25">
      <c r="A83" t="s">
        <v>302</v>
      </c>
      <c r="B83" t="str">
        <f t="shared" si="2"/>
        <v>LEE</v>
      </c>
      <c r="G83" t="s">
        <v>368</v>
      </c>
      <c r="H83">
        <v>600117</v>
      </c>
      <c r="I83">
        <v>4</v>
      </c>
      <c r="L83" t="str">
        <f t="shared" si="3"/>
        <v>Scomber japonicus</v>
      </c>
      <c r="S83">
        <v>600656</v>
      </c>
      <c r="T83" t="s">
        <v>486</v>
      </c>
    </row>
    <row r="84" spans="1:20" x14ac:dyDescent="0.25">
      <c r="A84" t="s">
        <v>290</v>
      </c>
      <c r="B84" t="str">
        <f t="shared" si="2"/>
        <v>LES</v>
      </c>
      <c r="G84" t="s">
        <v>183</v>
      </c>
      <c r="H84">
        <v>600141</v>
      </c>
      <c r="I84">
        <v>4</v>
      </c>
      <c r="L84" t="str">
        <f t="shared" si="3"/>
        <v>Scomberomorus tritor</v>
      </c>
      <c r="S84">
        <v>600662</v>
      </c>
      <c r="T84" t="s">
        <v>487</v>
      </c>
    </row>
    <row r="85" spans="1:20" x14ac:dyDescent="0.25">
      <c r="A85" t="s">
        <v>333</v>
      </c>
      <c r="B85" t="str">
        <f t="shared" si="2"/>
        <v>LGH</v>
      </c>
      <c r="C85" t="s">
        <v>389</v>
      </c>
      <c r="G85" t="s">
        <v>369</v>
      </c>
      <c r="H85">
        <v>400416</v>
      </c>
      <c r="I85">
        <v>4</v>
      </c>
      <c r="L85" t="str">
        <f t="shared" si="3"/>
        <v>Scombridae</v>
      </c>
      <c r="S85">
        <v>600663</v>
      </c>
      <c r="T85" t="s">
        <v>488</v>
      </c>
    </row>
    <row r="86" spans="1:20" x14ac:dyDescent="0.25">
      <c r="A86" t="s">
        <v>203</v>
      </c>
      <c r="B86" t="str">
        <f t="shared" si="2"/>
        <v>LMA</v>
      </c>
      <c r="G86" t="s">
        <v>265</v>
      </c>
      <c r="H86">
        <v>600223</v>
      </c>
      <c r="I86">
        <v>2</v>
      </c>
      <c r="L86" t="str">
        <f t="shared" si="3"/>
        <v>Kajikia audax</v>
      </c>
      <c r="S86">
        <v>600669</v>
      </c>
      <c r="T86" t="s">
        <v>489</v>
      </c>
    </row>
    <row r="87" spans="1:20" x14ac:dyDescent="0.25">
      <c r="A87" t="s">
        <v>274</v>
      </c>
      <c r="B87" t="str">
        <f t="shared" si="2"/>
        <v>LMD</v>
      </c>
      <c r="G87" t="s">
        <v>370</v>
      </c>
      <c r="H87">
        <v>500358</v>
      </c>
      <c r="I87">
        <v>4</v>
      </c>
      <c r="L87" t="str">
        <f t="shared" si="3"/>
        <v>Mola</v>
      </c>
      <c r="S87">
        <v>600670</v>
      </c>
      <c r="T87" t="s">
        <v>490</v>
      </c>
    </row>
    <row r="88" spans="1:20" x14ac:dyDescent="0.25">
      <c r="A88" t="s">
        <v>336</v>
      </c>
      <c r="B88" t="str">
        <f t="shared" si="2"/>
        <v>LMO</v>
      </c>
      <c r="C88" t="s">
        <v>390</v>
      </c>
      <c r="G88" t="s">
        <v>307</v>
      </c>
      <c r="H88">
        <v>600117</v>
      </c>
      <c r="I88">
        <v>4</v>
      </c>
      <c r="L88" t="str">
        <f t="shared" si="3"/>
        <v>Scomber japonicus</v>
      </c>
      <c r="S88">
        <v>600687</v>
      </c>
      <c r="T88" t="s">
        <v>491</v>
      </c>
    </row>
    <row r="89" spans="1:20" x14ac:dyDescent="0.25">
      <c r="A89" t="s">
        <v>335</v>
      </c>
      <c r="B89" t="e">
        <f t="shared" si="2"/>
        <v>#N/A</v>
      </c>
      <c r="G89" t="s">
        <v>238</v>
      </c>
      <c r="H89">
        <v>400009</v>
      </c>
      <c r="I89">
        <v>5</v>
      </c>
      <c r="L89" t="str">
        <f t="shared" si="3"/>
        <v>Lamnidae</v>
      </c>
      <c r="S89">
        <v>600700</v>
      </c>
      <c r="T89" t="s">
        <v>492</v>
      </c>
    </row>
    <row r="90" spans="1:20" x14ac:dyDescent="0.25">
      <c r="A90" t="s">
        <v>177</v>
      </c>
      <c r="B90" t="str">
        <f t="shared" si="2"/>
        <v>LTA</v>
      </c>
      <c r="G90" t="s">
        <v>196</v>
      </c>
      <c r="H90">
        <v>601823</v>
      </c>
      <c r="I90">
        <v>2</v>
      </c>
      <c r="L90" t="str">
        <f t="shared" si="3"/>
        <v>Tetrapturus belone</v>
      </c>
      <c r="S90">
        <v>600704</v>
      </c>
      <c r="T90" t="s">
        <v>493</v>
      </c>
    </row>
    <row r="91" spans="1:20" x14ac:dyDescent="0.25">
      <c r="A91" t="s">
        <v>331</v>
      </c>
      <c r="B91" t="str">
        <f t="shared" si="2"/>
        <v>MAN</v>
      </c>
      <c r="C91" t="s">
        <v>391</v>
      </c>
      <c r="G91" t="s">
        <v>303</v>
      </c>
      <c r="H91">
        <v>100039</v>
      </c>
      <c r="I91">
        <v>6</v>
      </c>
      <c r="L91" t="str">
        <f t="shared" si="3"/>
        <v>Marine fishes not identified</v>
      </c>
      <c r="S91">
        <v>600718</v>
      </c>
      <c r="T91" t="s">
        <v>494</v>
      </c>
    </row>
    <row r="92" spans="1:20" x14ac:dyDescent="0.25">
      <c r="A92" t="s">
        <v>183</v>
      </c>
      <c r="B92" t="str">
        <f t="shared" si="2"/>
        <v>MAW</v>
      </c>
      <c r="G92" t="s">
        <v>239</v>
      </c>
      <c r="H92">
        <v>600897</v>
      </c>
      <c r="I92">
        <v>5</v>
      </c>
      <c r="L92" t="str">
        <f t="shared" si="3"/>
        <v>Negaprion brevirostris</v>
      </c>
      <c r="S92">
        <v>600719</v>
      </c>
      <c r="T92" t="s">
        <v>495</v>
      </c>
    </row>
    <row r="93" spans="1:20" x14ac:dyDescent="0.25">
      <c r="A93" t="s">
        <v>265</v>
      </c>
      <c r="B93" t="str">
        <f t="shared" si="2"/>
        <v>MLS</v>
      </c>
      <c r="G93" t="s">
        <v>264</v>
      </c>
      <c r="H93">
        <v>600131</v>
      </c>
      <c r="I93">
        <v>4</v>
      </c>
      <c r="L93" t="str">
        <f t="shared" si="3"/>
        <v>Scomberomorus niphonius</v>
      </c>
      <c r="S93">
        <v>600736</v>
      </c>
      <c r="T93" t="s">
        <v>496</v>
      </c>
    </row>
    <row r="94" spans="1:20" x14ac:dyDescent="0.25">
      <c r="A94" t="s">
        <v>307</v>
      </c>
      <c r="B94" t="str">
        <f t="shared" si="2"/>
        <v>MOX</v>
      </c>
      <c r="G94" t="s">
        <v>287</v>
      </c>
      <c r="H94">
        <v>602531</v>
      </c>
      <c r="I94">
        <v>5</v>
      </c>
      <c r="L94" t="str">
        <f t="shared" si="3"/>
        <v>Notorynchus cepedianus</v>
      </c>
      <c r="S94">
        <v>600747</v>
      </c>
      <c r="T94" t="s">
        <v>497</v>
      </c>
    </row>
    <row r="95" spans="1:20" x14ac:dyDescent="0.25">
      <c r="A95" t="s">
        <v>317</v>
      </c>
      <c r="B95" t="str">
        <f t="shared" si="2"/>
        <v>MRW</v>
      </c>
      <c r="C95" t="s">
        <v>392</v>
      </c>
      <c r="G95" t="s">
        <v>209</v>
      </c>
      <c r="H95">
        <v>600875</v>
      </c>
      <c r="I95">
        <v>5</v>
      </c>
      <c r="L95" t="str">
        <f t="shared" si="3"/>
        <v>Carcharhinus longimanus</v>
      </c>
      <c r="S95">
        <v>600751</v>
      </c>
      <c r="T95" t="s">
        <v>498</v>
      </c>
    </row>
    <row r="96" spans="1:20" x14ac:dyDescent="0.25">
      <c r="A96" t="s">
        <v>238</v>
      </c>
      <c r="B96" t="str">
        <f t="shared" si="2"/>
        <v>MSK</v>
      </c>
      <c r="G96" t="s">
        <v>273</v>
      </c>
      <c r="H96">
        <v>601044</v>
      </c>
      <c r="I96">
        <v>6</v>
      </c>
      <c r="L96" t="str">
        <f t="shared" si="3"/>
        <v>Ruvettus pretiosus</v>
      </c>
      <c r="S96">
        <v>600752</v>
      </c>
      <c r="T96" t="s">
        <v>499</v>
      </c>
    </row>
    <row r="97" spans="1:20" x14ac:dyDescent="0.25">
      <c r="A97" t="s">
        <v>196</v>
      </c>
      <c r="B97" t="str">
        <f t="shared" si="2"/>
        <v>MSP</v>
      </c>
      <c r="G97" t="s">
        <v>270</v>
      </c>
      <c r="H97">
        <v>600719</v>
      </c>
      <c r="I97">
        <v>5</v>
      </c>
      <c r="L97" t="str">
        <f t="shared" si="3"/>
        <v>Oxynotus paradoxus</v>
      </c>
      <c r="S97">
        <v>600753</v>
      </c>
      <c r="T97" t="s">
        <v>500</v>
      </c>
    </row>
    <row r="98" spans="1:20" x14ac:dyDescent="0.25">
      <c r="A98" t="s">
        <v>303</v>
      </c>
      <c r="B98" t="str">
        <f t="shared" si="2"/>
        <v>NAU</v>
      </c>
      <c r="G98" t="s">
        <v>258</v>
      </c>
      <c r="H98">
        <v>600718</v>
      </c>
      <c r="I98">
        <v>5</v>
      </c>
      <c r="L98" t="str">
        <f t="shared" si="3"/>
        <v>Oxynotus centrina</v>
      </c>
      <c r="S98">
        <v>600807</v>
      </c>
      <c r="T98" t="s">
        <v>501</v>
      </c>
    </row>
    <row r="99" spans="1:20" x14ac:dyDescent="0.25">
      <c r="A99" t="s">
        <v>239</v>
      </c>
      <c r="B99" t="str">
        <f t="shared" si="2"/>
        <v>NGB</v>
      </c>
      <c r="G99" t="s">
        <v>299</v>
      </c>
      <c r="H99">
        <v>400020</v>
      </c>
      <c r="I99">
        <v>6</v>
      </c>
      <c r="L99" t="str">
        <f t="shared" si="3"/>
        <v>Dasyatidae</v>
      </c>
      <c r="S99">
        <v>600845</v>
      </c>
      <c r="T99" t="s">
        <v>502</v>
      </c>
    </row>
    <row r="100" spans="1:20" x14ac:dyDescent="0.25">
      <c r="A100" t="s">
        <v>264</v>
      </c>
      <c r="B100" t="str">
        <f t="shared" si="2"/>
        <v>NPH</v>
      </c>
      <c r="G100" t="s">
        <v>296</v>
      </c>
      <c r="H100">
        <v>600391</v>
      </c>
      <c r="I100">
        <v>6</v>
      </c>
      <c r="L100" t="str">
        <f>VLOOKUP(H100,S:T,2,FALSE)</f>
        <v>Brama brama</v>
      </c>
      <c r="S100">
        <v>600854</v>
      </c>
      <c r="T100" t="s">
        <v>503</v>
      </c>
    </row>
    <row r="101" spans="1:20" x14ac:dyDescent="0.25">
      <c r="A101" t="s">
        <v>287</v>
      </c>
      <c r="B101" t="str">
        <f t="shared" si="2"/>
        <v>NTC</v>
      </c>
      <c r="G101" t="s">
        <v>198</v>
      </c>
      <c r="H101">
        <v>600088</v>
      </c>
      <c r="I101">
        <v>5</v>
      </c>
      <c r="L101" t="str">
        <f t="shared" ref="L101:L164" si="4">VLOOKUP(H101,S:T,2,FALSE)</f>
        <v>Lamna nasus</v>
      </c>
      <c r="S101">
        <v>600858</v>
      </c>
      <c r="T101" t="s">
        <v>504</v>
      </c>
    </row>
    <row r="102" spans="1:20" x14ac:dyDescent="0.25">
      <c r="A102" t="s">
        <v>209</v>
      </c>
      <c r="B102" t="str">
        <f t="shared" si="2"/>
        <v>OCS</v>
      </c>
      <c r="G102" t="s">
        <v>276</v>
      </c>
      <c r="H102">
        <v>605923</v>
      </c>
      <c r="I102">
        <v>5</v>
      </c>
      <c r="L102" t="str">
        <f t="shared" si="4"/>
        <v>Pseudocarcharias kamoharai</v>
      </c>
      <c r="S102">
        <v>600864</v>
      </c>
      <c r="T102" t="s">
        <v>505</v>
      </c>
    </row>
    <row r="103" spans="1:20" x14ac:dyDescent="0.25">
      <c r="A103" t="s">
        <v>273</v>
      </c>
      <c r="B103" t="str">
        <f t="shared" si="2"/>
        <v>OIL</v>
      </c>
      <c r="G103" t="s">
        <v>275</v>
      </c>
      <c r="H103">
        <v>605891</v>
      </c>
      <c r="I103">
        <v>5</v>
      </c>
      <c r="L103" t="str">
        <f t="shared" si="4"/>
        <v>Alopias pelagicus</v>
      </c>
      <c r="S103">
        <v>600868</v>
      </c>
      <c r="T103" t="s">
        <v>506</v>
      </c>
    </row>
    <row r="104" spans="1:20" x14ac:dyDescent="0.25">
      <c r="A104" t="s">
        <v>270</v>
      </c>
      <c r="B104" t="str">
        <f t="shared" si="2"/>
        <v>OXN</v>
      </c>
      <c r="G104" t="s">
        <v>284</v>
      </c>
      <c r="H104">
        <v>602536</v>
      </c>
      <c r="I104">
        <v>5</v>
      </c>
      <c r="L104" t="str">
        <f t="shared" si="4"/>
        <v>Pseudotriakis microdon</v>
      </c>
      <c r="S104">
        <v>600870</v>
      </c>
      <c r="T104" t="s">
        <v>507</v>
      </c>
    </row>
    <row r="105" spans="1:20" x14ac:dyDescent="0.25">
      <c r="A105" t="s">
        <v>258</v>
      </c>
      <c r="B105" t="str">
        <f t="shared" si="2"/>
        <v>OXY</v>
      </c>
      <c r="G105" t="s">
        <v>371</v>
      </c>
      <c r="H105">
        <v>200004</v>
      </c>
      <c r="I105">
        <v>5</v>
      </c>
      <c r="L105" t="str">
        <f t="shared" si="4"/>
        <v>Elasmobranchii</v>
      </c>
      <c r="S105">
        <v>600873</v>
      </c>
      <c r="T105" t="s">
        <v>508</v>
      </c>
    </row>
    <row r="106" spans="1:20" x14ac:dyDescent="0.25">
      <c r="A106" t="s">
        <v>299</v>
      </c>
      <c r="B106" t="str">
        <f t="shared" si="2"/>
        <v>PLS</v>
      </c>
      <c r="G106" t="s">
        <v>298</v>
      </c>
      <c r="H106">
        <v>100039</v>
      </c>
      <c r="I106">
        <v>6</v>
      </c>
      <c r="L106" t="str">
        <f t="shared" si="4"/>
        <v>Marine fishes not identified</v>
      </c>
      <c r="S106">
        <v>600874</v>
      </c>
      <c r="T106" t="s">
        <v>509</v>
      </c>
    </row>
    <row r="107" spans="1:20" x14ac:dyDescent="0.25">
      <c r="A107" t="s">
        <v>296</v>
      </c>
      <c r="B107" t="str">
        <f t="shared" si="2"/>
        <v>POA</v>
      </c>
      <c r="G107" t="s">
        <v>310</v>
      </c>
      <c r="H107">
        <v>300009</v>
      </c>
      <c r="I107">
        <v>5</v>
      </c>
      <c r="L107" t="str">
        <f t="shared" si="4"/>
        <v>Squaliformes</v>
      </c>
      <c r="S107">
        <v>600875</v>
      </c>
      <c r="T107" t="s">
        <v>510</v>
      </c>
    </row>
    <row r="108" spans="1:20" x14ac:dyDescent="0.25">
      <c r="A108" t="s">
        <v>198</v>
      </c>
      <c r="B108" t="str">
        <f t="shared" si="2"/>
        <v>POR</v>
      </c>
      <c r="G108" t="s">
        <v>267</v>
      </c>
      <c r="H108">
        <v>400011</v>
      </c>
      <c r="I108">
        <v>5</v>
      </c>
      <c r="L108" t="str">
        <f t="shared" si="4"/>
        <v>Carcharhinidae</v>
      </c>
      <c r="S108">
        <v>600877</v>
      </c>
      <c r="T108" t="s">
        <v>511</v>
      </c>
    </row>
    <row r="109" spans="1:20" x14ac:dyDescent="0.25">
      <c r="A109" t="s">
        <v>276</v>
      </c>
      <c r="B109" t="str">
        <f t="shared" si="2"/>
        <v>PSK</v>
      </c>
      <c r="G109" t="s">
        <v>288</v>
      </c>
      <c r="H109">
        <v>602081</v>
      </c>
      <c r="I109">
        <v>5</v>
      </c>
      <c r="L109" t="str">
        <f t="shared" si="4"/>
        <v>Rhincodon typus</v>
      </c>
      <c r="S109">
        <v>600878</v>
      </c>
      <c r="T109" t="s">
        <v>512</v>
      </c>
    </row>
    <row r="110" spans="1:20" x14ac:dyDescent="0.25">
      <c r="A110" t="s">
        <v>275</v>
      </c>
      <c r="B110" t="str">
        <f t="shared" si="2"/>
        <v>PTH</v>
      </c>
      <c r="G110" t="s">
        <v>233</v>
      </c>
      <c r="H110">
        <v>600905</v>
      </c>
      <c r="I110">
        <v>5</v>
      </c>
      <c r="L110" t="str">
        <f t="shared" si="4"/>
        <v>Rhizoprionodon terraenovae</v>
      </c>
      <c r="S110">
        <v>600880</v>
      </c>
      <c r="T110" t="s">
        <v>513</v>
      </c>
    </row>
    <row r="111" spans="1:20" x14ac:dyDescent="0.25">
      <c r="A111" t="s">
        <v>284</v>
      </c>
      <c r="B111" t="str">
        <f t="shared" si="2"/>
        <v>PTM</v>
      </c>
      <c r="G111" t="s">
        <v>372</v>
      </c>
      <c r="H111">
        <v>400011</v>
      </c>
      <c r="I111">
        <v>5</v>
      </c>
      <c r="L111" t="str">
        <f t="shared" si="4"/>
        <v>Carcharhinidae</v>
      </c>
      <c r="S111">
        <v>600881</v>
      </c>
      <c r="T111" t="s">
        <v>514</v>
      </c>
    </row>
    <row r="112" spans="1:20" x14ac:dyDescent="0.25">
      <c r="A112" t="s">
        <v>298</v>
      </c>
      <c r="B112" t="str">
        <f t="shared" si="2"/>
        <v>QUB</v>
      </c>
      <c r="G112" t="s">
        <v>309</v>
      </c>
      <c r="H112">
        <v>602061</v>
      </c>
      <c r="I112">
        <v>6</v>
      </c>
      <c r="L112" t="str">
        <f t="shared" si="4"/>
        <v>Manta birostris</v>
      </c>
      <c r="S112">
        <v>600886</v>
      </c>
      <c r="T112" t="s">
        <v>515</v>
      </c>
    </row>
    <row r="113" spans="1:20" x14ac:dyDescent="0.25">
      <c r="A113" t="s">
        <v>310</v>
      </c>
      <c r="B113" t="str">
        <f t="shared" si="2"/>
        <v>QUL</v>
      </c>
      <c r="G113" t="s">
        <v>319</v>
      </c>
      <c r="H113">
        <v>600412</v>
      </c>
      <c r="I113">
        <v>4</v>
      </c>
      <c r="L113" t="str">
        <f t="shared" si="4"/>
        <v>Elagatis bipinnulata</v>
      </c>
      <c r="S113">
        <v>600897</v>
      </c>
      <c r="T113" t="s">
        <v>516</v>
      </c>
    </row>
    <row r="114" spans="1:20" x14ac:dyDescent="0.25">
      <c r="A114" t="s">
        <v>267</v>
      </c>
      <c r="B114" t="str">
        <f t="shared" si="2"/>
        <v>RHA</v>
      </c>
      <c r="G114" t="s">
        <v>199</v>
      </c>
      <c r="H114">
        <v>400011</v>
      </c>
      <c r="I114">
        <v>5</v>
      </c>
      <c r="L114" t="str">
        <f t="shared" si="4"/>
        <v>Carcharhinidae</v>
      </c>
      <c r="S114">
        <v>600898</v>
      </c>
      <c r="T114" t="s">
        <v>517</v>
      </c>
    </row>
    <row r="115" spans="1:20" x14ac:dyDescent="0.25">
      <c r="A115" t="s">
        <v>288</v>
      </c>
      <c r="B115" t="str">
        <f t="shared" si="2"/>
        <v>RHN</v>
      </c>
      <c r="G115" t="s">
        <v>277</v>
      </c>
      <c r="H115">
        <v>400419</v>
      </c>
      <c r="I115">
        <v>2</v>
      </c>
      <c r="L115" t="str">
        <f t="shared" si="4"/>
        <v>Istiophoridae</v>
      </c>
      <c r="S115">
        <v>600905</v>
      </c>
      <c r="T115" t="s">
        <v>518</v>
      </c>
    </row>
    <row r="116" spans="1:20" x14ac:dyDescent="0.25">
      <c r="A116" t="s">
        <v>233</v>
      </c>
      <c r="B116" t="str">
        <f t="shared" si="2"/>
        <v>RHT</v>
      </c>
      <c r="G116" t="s">
        <v>320</v>
      </c>
      <c r="H116">
        <v>601933</v>
      </c>
      <c r="I116">
        <v>6</v>
      </c>
      <c r="L116" t="str">
        <f t="shared" si="4"/>
        <v>Caranx crysos</v>
      </c>
      <c r="S116">
        <v>600912</v>
      </c>
      <c r="T116" t="s">
        <v>519</v>
      </c>
    </row>
    <row r="117" spans="1:20" x14ac:dyDescent="0.25">
      <c r="A117" t="s">
        <v>309</v>
      </c>
      <c r="B117" t="str">
        <f t="shared" si="2"/>
        <v>RMB</v>
      </c>
      <c r="G117" t="s">
        <v>180</v>
      </c>
      <c r="H117">
        <v>600078</v>
      </c>
      <c r="I117">
        <v>2</v>
      </c>
      <c r="L117" t="str">
        <f t="shared" si="4"/>
        <v>Istiophorus albicans</v>
      </c>
      <c r="S117">
        <v>600914</v>
      </c>
      <c r="T117" t="s">
        <v>520</v>
      </c>
    </row>
    <row r="118" spans="1:20" x14ac:dyDescent="0.25">
      <c r="A118" t="s">
        <v>318</v>
      </c>
      <c r="B118" t="str">
        <f t="shared" si="2"/>
        <v>RMM</v>
      </c>
      <c r="C118" t="s">
        <v>393</v>
      </c>
      <c r="G118" t="s">
        <v>297</v>
      </c>
      <c r="H118">
        <v>601084</v>
      </c>
      <c r="I118">
        <v>6</v>
      </c>
      <c r="L118" t="str">
        <f t="shared" si="4"/>
        <v>Scomberesox saurus saurus</v>
      </c>
      <c r="S118">
        <v>600915</v>
      </c>
      <c r="T118" t="s">
        <v>521</v>
      </c>
    </row>
    <row r="119" spans="1:20" x14ac:dyDescent="0.25">
      <c r="A119" t="s">
        <v>342</v>
      </c>
      <c r="B119" t="str">
        <f t="shared" si="2"/>
        <v>RMO</v>
      </c>
      <c r="C119" t="s">
        <v>394</v>
      </c>
      <c r="G119" t="s">
        <v>187</v>
      </c>
      <c r="H119">
        <v>600145</v>
      </c>
      <c r="I119">
        <v>1</v>
      </c>
      <c r="L119" t="str">
        <f t="shared" si="4"/>
        <v>Thunnus maccoyii</v>
      </c>
      <c r="S119">
        <v>600917</v>
      </c>
      <c r="T119" t="s">
        <v>522</v>
      </c>
    </row>
    <row r="120" spans="1:20" x14ac:dyDescent="0.25">
      <c r="A120" t="s">
        <v>339</v>
      </c>
      <c r="B120" t="str">
        <f t="shared" si="2"/>
        <v>RMT</v>
      </c>
      <c r="C120" t="s">
        <v>395</v>
      </c>
      <c r="G120" t="s">
        <v>229</v>
      </c>
      <c r="H120">
        <v>600637</v>
      </c>
      <c r="I120">
        <v>5</v>
      </c>
      <c r="L120" t="str">
        <f t="shared" si="4"/>
        <v>Hexanchus griseus</v>
      </c>
      <c r="S120">
        <v>601005</v>
      </c>
      <c r="T120" t="s">
        <v>523</v>
      </c>
    </row>
    <row r="121" spans="1:20" x14ac:dyDescent="0.25">
      <c r="A121" t="s">
        <v>319</v>
      </c>
      <c r="B121" t="str">
        <f t="shared" si="2"/>
        <v>RRU</v>
      </c>
      <c r="G121" t="s">
        <v>236</v>
      </c>
      <c r="H121">
        <v>600669</v>
      </c>
      <c r="I121">
        <v>5</v>
      </c>
      <c r="L121" t="str">
        <f t="shared" si="4"/>
        <v>Dalatias licha</v>
      </c>
      <c r="S121">
        <v>601007</v>
      </c>
      <c r="T121" t="s">
        <v>524</v>
      </c>
    </row>
    <row r="122" spans="1:20" x14ac:dyDescent="0.25">
      <c r="A122" t="s">
        <v>199</v>
      </c>
      <c r="B122" t="str">
        <f t="shared" si="2"/>
        <v>RSK</v>
      </c>
      <c r="G122" t="s">
        <v>245</v>
      </c>
      <c r="H122">
        <v>500814</v>
      </c>
      <c r="I122">
        <v>5</v>
      </c>
      <c r="L122" t="str">
        <f t="shared" si="4"/>
        <v>Scyliorhinus</v>
      </c>
      <c r="S122">
        <v>601012</v>
      </c>
      <c r="T122" t="s">
        <v>525</v>
      </c>
    </row>
    <row r="123" spans="1:20" x14ac:dyDescent="0.25">
      <c r="A123" t="s">
        <v>277</v>
      </c>
      <c r="B123" t="str">
        <f t="shared" si="2"/>
        <v>RSP</v>
      </c>
      <c r="G123" t="s">
        <v>300</v>
      </c>
      <c r="H123">
        <v>605937</v>
      </c>
      <c r="I123">
        <v>5</v>
      </c>
      <c r="L123" t="str">
        <f t="shared" si="4"/>
        <v>Mustelus schmitti</v>
      </c>
      <c r="S123">
        <v>601042</v>
      </c>
      <c r="T123" t="s">
        <v>526</v>
      </c>
    </row>
    <row r="124" spans="1:20" x14ac:dyDescent="0.25">
      <c r="A124" t="s">
        <v>320</v>
      </c>
      <c r="B124" t="str">
        <f t="shared" si="2"/>
        <v>RUB</v>
      </c>
      <c r="G124" t="s">
        <v>251</v>
      </c>
      <c r="H124">
        <v>605938</v>
      </c>
      <c r="I124">
        <v>5</v>
      </c>
      <c r="L124" t="str">
        <f t="shared" si="4"/>
        <v>Mustelus asterias</v>
      </c>
      <c r="S124">
        <v>601044</v>
      </c>
      <c r="T124" t="s">
        <v>527</v>
      </c>
    </row>
    <row r="125" spans="1:20" x14ac:dyDescent="0.25">
      <c r="A125" t="s">
        <v>321</v>
      </c>
      <c r="B125" t="str">
        <f t="shared" si="2"/>
        <v>RZV</v>
      </c>
      <c r="C125" t="s">
        <v>396</v>
      </c>
      <c r="G125" t="s">
        <v>225</v>
      </c>
      <c r="H125">
        <v>500348</v>
      </c>
      <c r="I125">
        <v>5</v>
      </c>
      <c r="L125" t="str">
        <f t="shared" si="4"/>
        <v>Mustelus</v>
      </c>
      <c r="S125">
        <v>601072</v>
      </c>
      <c r="T125" t="s">
        <v>528</v>
      </c>
    </row>
    <row r="126" spans="1:20" x14ac:dyDescent="0.25">
      <c r="A126" t="s">
        <v>180</v>
      </c>
      <c r="B126" t="str">
        <f t="shared" si="2"/>
        <v>SAI</v>
      </c>
      <c r="G126" t="s">
        <v>304</v>
      </c>
      <c r="H126">
        <v>600645</v>
      </c>
      <c r="I126">
        <v>6</v>
      </c>
      <c r="L126" t="str">
        <f t="shared" si="4"/>
        <v>Lepidopus caudatus</v>
      </c>
      <c r="S126">
        <v>601081</v>
      </c>
      <c r="T126" t="s">
        <v>529</v>
      </c>
    </row>
    <row r="127" spans="1:20" x14ac:dyDescent="0.25">
      <c r="A127" t="s">
        <v>297</v>
      </c>
      <c r="B127" t="str">
        <f t="shared" si="2"/>
        <v>SAU</v>
      </c>
      <c r="G127" t="s">
        <v>259</v>
      </c>
      <c r="H127">
        <v>600641</v>
      </c>
      <c r="I127">
        <v>5</v>
      </c>
      <c r="L127" t="str">
        <f t="shared" si="4"/>
        <v>Echinorhinus brucus</v>
      </c>
      <c r="S127">
        <v>601084</v>
      </c>
      <c r="T127" t="s">
        <v>530</v>
      </c>
    </row>
    <row r="128" spans="1:20" x14ac:dyDescent="0.25">
      <c r="A128" t="s">
        <v>187</v>
      </c>
      <c r="B128" t="str">
        <f t="shared" si="2"/>
        <v>SBF</v>
      </c>
      <c r="G128" t="s">
        <v>255</v>
      </c>
      <c r="H128">
        <v>500642</v>
      </c>
      <c r="I128">
        <v>5</v>
      </c>
      <c r="L128" t="str">
        <f t="shared" si="4"/>
        <v>Etmopterus</v>
      </c>
      <c r="S128">
        <v>601235</v>
      </c>
      <c r="T128" t="s">
        <v>531</v>
      </c>
    </row>
    <row r="129" spans="1:20" x14ac:dyDescent="0.25">
      <c r="A129" t="s">
        <v>229</v>
      </c>
      <c r="B129" t="str">
        <f t="shared" si="2"/>
        <v>SBL</v>
      </c>
      <c r="G129" t="s">
        <v>250</v>
      </c>
      <c r="H129">
        <v>600807</v>
      </c>
      <c r="I129">
        <v>5</v>
      </c>
      <c r="L129" t="str">
        <f t="shared" si="4"/>
        <v>Galeus melastomus</v>
      </c>
      <c r="S129">
        <v>601278</v>
      </c>
      <c r="T129" t="s">
        <v>532</v>
      </c>
    </row>
    <row r="130" spans="1:20" x14ac:dyDescent="0.25">
      <c r="A130" t="s">
        <v>236</v>
      </c>
      <c r="B130" t="str">
        <f t="shared" ref="B130:B179" si="5">VLOOKUP(A130,G:I,1,FALSE)</f>
        <v>SCK</v>
      </c>
      <c r="G130" t="s">
        <v>197</v>
      </c>
      <c r="H130">
        <v>300009</v>
      </c>
      <c r="I130">
        <v>5</v>
      </c>
      <c r="L130" t="str">
        <f t="shared" si="4"/>
        <v>Squaliformes</v>
      </c>
      <c r="S130">
        <v>601823</v>
      </c>
      <c r="T130" t="s">
        <v>533</v>
      </c>
    </row>
    <row r="131" spans="1:20" x14ac:dyDescent="0.25">
      <c r="A131" t="s">
        <v>245</v>
      </c>
      <c r="B131" t="str">
        <f t="shared" si="5"/>
        <v>SCL</v>
      </c>
      <c r="G131" t="s">
        <v>194</v>
      </c>
      <c r="H131">
        <v>200004</v>
      </c>
      <c r="I131">
        <v>5</v>
      </c>
      <c r="L131" t="str">
        <f t="shared" si="4"/>
        <v>Elasmobranchii</v>
      </c>
      <c r="S131">
        <v>601933</v>
      </c>
      <c r="T131" t="s">
        <v>534</v>
      </c>
    </row>
    <row r="132" spans="1:20" x14ac:dyDescent="0.25">
      <c r="A132" t="s">
        <v>300</v>
      </c>
      <c r="B132" t="str">
        <f t="shared" si="5"/>
        <v>SDP</v>
      </c>
      <c r="G132" t="s">
        <v>169</v>
      </c>
      <c r="H132">
        <v>600107</v>
      </c>
      <c r="I132">
        <v>1</v>
      </c>
      <c r="L132" t="str">
        <f t="shared" si="4"/>
        <v>Katsuwonus pelamis</v>
      </c>
      <c r="S132">
        <v>602061</v>
      </c>
      <c r="T132" t="s">
        <v>535</v>
      </c>
    </row>
    <row r="133" spans="1:20" x14ac:dyDescent="0.25">
      <c r="A133" t="s">
        <v>251</v>
      </c>
      <c r="B133" t="str">
        <f t="shared" si="5"/>
        <v>SDS</v>
      </c>
      <c r="G133" t="s">
        <v>195</v>
      </c>
      <c r="H133">
        <v>600091</v>
      </c>
      <c r="I133">
        <v>4</v>
      </c>
      <c r="L133" t="str">
        <f t="shared" si="4"/>
        <v>Allothunnus fallai</v>
      </c>
      <c r="S133">
        <v>602081</v>
      </c>
      <c r="T133" t="s">
        <v>536</v>
      </c>
    </row>
    <row r="134" spans="1:20" x14ac:dyDescent="0.25">
      <c r="A134" t="s">
        <v>225</v>
      </c>
      <c r="B134" t="str">
        <f t="shared" si="5"/>
        <v>SDV</v>
      </c>
      <c r="G134" t="s">
        <v>205</v>
      </c>
      <c r="H134">
        <v>600752</v>
      </c>
      <c r="I134">
        <v>3</v>
      </c>
      <c r="J134" t="s">
        <v>400</v>
      </c>
      <c r="K134" t="s">
        <v>404</v>
      </c>
      <c r="L134" t="str">
        <f t="shared" si="4"/>
        <v>Isurus oxyrinchus</v>
      </c>
      <c r="S134">
        <v>602531</v>
      </c>
      <c r="T134" t="s">
        <v>537</v>
      </c>
    </row>
    <row r="135" spans="1:20" x14ac:dyDescent="0.25">
      <c r="A135" t="s">
        <v>304</v>
      </c>
      <c r="B135" t="str">
        <f t="shared" si="5"/>
        <v>SFS</v>
      </c>
      <c r="G135" t="s">
        <v>228</v>
      </c>
      <c r="H135">
        <v>604996</v>
      </c>
      <c r="I135">
        <v>5</v>
      </c>
      <c r="J135" t="s">
        <v>400</v>
      </c>
      <c r="L135" t="str">
        <f t="shared" si="4"/>
        <v>Mustelus mustelus</v>
      </c>
      <c r="S135">
        <v>602532</v>
      </c>
      <c r="T135" t="s">
        <v>538</v>
      </c>
    </row>
    <row r="136" spans="1:20" x14ac:dyDescent="0.25">
      <c r="A136" t="s">
        <v>259</v>
      </c>
      <c r="B136" t="str">
        <f t="shared" si="5"/>
        <v>SHB</v>
      </c>
      <c r="G136" t="s">
        <v>373</v>
      </c>
      <c r="H136">
        <v>400416</v>
      </c>
      <c r="I136">
        <v>4</v>
      </c>
      <c r="J136" t="s">
        <v>401</v>
      </c>
      <c r="K136" t="s">
        <v>405</v>
      </c>
      <c r="L136" t="str">
        <f t="shared" si="4"/>
        <v>Scombridae</v>
      </c>
      <c r="S136">
        <v>602534</v>
      </c>
      <c r="T136" t="s">
        <v>539</v>
      </c>
    </row>
    <row r="137" spans="1:20" x14ac:dyDescent="0.25">
      <c r="A137" t="s">
        <v>255</v>
      </c>
      <c r="B137" t="str">
        <f t="shared" si="5"/>
        <v>SHL</v>
      </c>
      <c r="G137" t="s">
        <v>285</v>
      </c>
      <c r="H137">
        <v>600704</v>
      </c>
      <c r="I137">
        <v>5</v>
      </c>
      <c r="L137" t="str">
        <f t="shared" si="4"/>
        <v>Somniosus rostratus</v>
      </c>
      <c r="S137">
        <v>602535</v>
      </c>
      <c r="T137" t="s">
        <v>540</v>
      </c>
    </row>
    <row r="138" spans="1:20" x14ac:dyDescent="0.25">
      <c r="A138" t="s">
        <v>250</v>
      </c>
      <c r="B138" t="str">
        <f t="shared" si="5"/>
        <v>SHO</v>
      </c>
      <c r="G138" t="s">
        <v>192</v>
      </c>
      <c r="H138">
        <v>600220</v>
      </c>
      <c r="I138">
        <v>2</v>
      </c>
      <c r="L138" t="str">
        <f t="shared" si="4"/>
        <v>Tetrapturus pfluegeri</v>
      </c>
      <c r="S138">
        <v>602536</v>
      </c>
      <c r="T138" t="s">
        <v>541</v>
      </c>
    </row>
    <row r="139" spans="1:20" x14ac:dyDescent="0.25">
      <c r="A139" t="s">
        <v>197</v>
      </c>
      <c r="B139" t="str">
        <f t="shared" si="5"/>
        <v>SHX</v>
      </c>
      <c r="G139" t="s">
        <v>262</v>
      </c>
      <c r="H139">
        <v>600915</v>
      </c>
      <c r="I139">
        <v>5</v>
      </c>
      <c r="L139" t="str">
        <f t="shared" si="4"/>
        <v>Sphyrna tiburo</v>
      </c>
      <c r="S139">
        <v>602540</v>
      </c>
      <c r="T139" t="s">
        <v>542</v>
      </c>
    </row>
    <row r="140" spans="1:20" x14ac:dyDescent="0.25">
      <c r="A140" t="s">
        <v>194</v>
      </c>
      <c r="B140" t="str">
        <f t="shared" si="5"/>
        <v>SKH</v>
      </c>
      <c r="G140" t="s">
        <v>217</v>
      </c>
      <c r="H140">
        <v>600914</v>
      </c>
      <c r="I140">
        <v>5</v>
      </c>
      <c r="L140" t="str">
        <f t="shared" si="4"/>
        <v>Sphyrna mokarran</v>
      </c>
      <c r="S140">
        <v>603561</v>
      </c>
      <c r="T140" t="s">
        <v>543</v>
      </c>
    </row>
    <row r="141" spans="1:20" x14ac:dyDescent="0.25">
      <c r="A141" t="s">
        <v>169</v>
      </c>
      <c r="B141" t="str">
        <f t="shared" si="5"/>
        <v>SKJ</v>
      </c>
      <c r="G141" t="s">
        <v>227</v>
      </c>
      <c r="H141">
        <v>600912</v>
      </c>
      <c r="I141">
        <v>5</v>
      </c>
      <c r="L141" t="str">
        <f t="shared" si="4"/>
        <v>Sphyrna lewini</v>
      </c>
      <c r="S141">
        <v>603915</v>
      </c>
      <c r="T141" t="s">
        <v>544</v>
      </c>
    </row>
    <row r="142" spans="1:20" x14ac:dyDescent="0.25">
      <c r="A142" t="s">
        <v>195</v>
      </c>
      <c r="B142" t="str">
        <f t="shared" si="5"/>
        <v>SLT</v>
      </c>
      <c r="G142" t="s">
        <v>200</v>
      </c>
      <c r="H142">
        <v>500693</v>
      </c>
      <c r="I142">
        <v>5</v>
      </c>
      <c r="L142" t="str">
        <f t="shared" si="4"/>
        <v>Sphyrna</v>
      </c>
      <c r="S142">
        <v>604642</v>
      </c>
      <c r="T142" t="s">
        <v>545</v>
      </c>
    </row>
    <row r="143" spans="1:20" x14ac:dyDescent="0.25">
      <c r="A143" t="s">
        <v>205</v>
      </c>
      <c r="B143" t="str">
        <f t="shared" si="5"/>
        <v>SMA</v>
      </c>
      <c r="G143" t="s">
        <v>278</v>
      </c>
      <c r="H143">
        <v>400012</v>
      </c>
      <c r="I143">
        <v>5</v>
      </c>
      <c r="L143" t="str">
        <f t="shared" si="4"/>
        <v>Sphyrnidae</v>
      </c>
      <c r="S143">
        <v>604996</v>
      </c>
      <c r="T143" t="s">
        <v>546</v>
      </c>
    </row>
    <row r="144" spans="1:20" x14ac:dyDescent="0.25">
      <c r="A144" t="s">
        <v>228</v>
      </c>
      <c r="B144" t="str">
        <f t="shared" si="5"/>
        <v>SMD</v>
      </c>
      <c r="G144" t="s">
        <v>234</v>
      </c>
      <c r="H144">
        <v>600917</v>
      </c>
      <c r="I144">
        <v>5</v>
      </c>
      <c r="L144" t="str">
        <f t="shared" si="4"/>
        <v>Sphyrna zygaena</v>
      </c>
      <c r="S144">
        <v>605891</v>
      </c>
      <c r="T144" t="s">
        <v>547</v>
      </c>
    </row>
    <row r="145" spans="1:20" x14ac:dyDescent="0.25">
      <c r="A145" t="s">
        <v>285</v>
      </c>
      <c r="B145" t="str">
        <f t="shared" si="5"/>
        <v>SOR</v>
      </c>
      <c r="G145" t="s">
        <v>172</v>
      </c>
      <c r="H145">
        <v>600126</v>
      </c>
      <c r="I145">
        <v>4</v>
      </c>
      <c r="L145" t="str">
        <f t="shared" si="4"/>
        <v>Scomberomorus maculatus</v>
      </c>
      <c r="S145">
        <v>605923</v>
      </c>
      <c r="T145" t="s">
        <v>548</v>
      </c>
    </row>
    <row r="146" spans="1:20" x14ac:dyDescent="0.25">
      <c r="A146" t="s">
        <v>192</v>
      </c>
      <c r="B146" t="str">
        <f t="shared" si="5"/>
        <v>SPF</v>
      </c>
      <c r="G146" t="s">
        <v>240</v>
      </c>
      <c r="H146">
        <v>603915</v>
      </c>
      <c r="I146">
        <v>2</v>
      </c>
      <c r="L146" t="str">
        <f t="shared" si="4"/>
        <v>Tetrapturus angustirostris</v>
      </c>
      <c r="S146">
        <v>605937</v>
      </c>
      <c r="T146" t="s">
        <v>549</v>
      </c>
    </row>
    <row r="147" spans="1:20" x14ac:dyDescent="0.25">
      <c r="A147" t="s">
        <v>262</v>
      </c>
      <c r="B147" t="str">
        <f t="shared" si="5"/>
        <v>SPJ</v>
      </c>
      <c r="G147" t="s">
        <v>305</v>
      </c>
      <c r="H147">
        <v>400020</v>
      </c>
      <c r="I147">
        <v>6</v>
      </c>
      <c r="L147" t="str">
        <f t="shared" si="4"/>
        <v>Dasyatidae</v>
      </c>
      <c r="S147">
        <v>605938</v>
      </c>
      <c r="T147" t="s">
        <v>550</v>
      </c>
    </row>
    <row r="148" spans="1:20" x14ac:dyDescent="0.25">
      <c r="A148" t="s">
        <v>217</v>
      </c>
      <c r="B148" t="str">
        <f t="shared" si="5"/>
        <v>SPK</v>
      </c>
      <c r="G148" t="s">
        <v>170</v>
      </c>
      <c r="H148">
        <v>600226</v>
      </c>
      <c r="I148">
        <v>2</v>
      </c>
      <c r="L148" t="str">
        <f t="shared" si="4"/>
        <v>Xiphias gladius</v>
      </c>
    </row>
    <row r="149" spans="1:20" x14ac:dyDescent="0.25">
      <c r="A149" t="s">
        <v>227</v>
      </c>
      <c r="B149" t="str">
        <f t="shared" si="5"/>
        <v>SPL</v>
      </c>
      <c r="G149" t="s">
        <v>246</v>
      </c>
      <c r="H149">
        <v>600845</v>
      </c>
      <c r="I149">
        <v>5</v>
      </c>
      <c r="L149" t="str">
        <f t="shared" si="4"/>
        <v>Scyliorhinus canicula</v>
      </c>
    </row>
    <row r="150" spans="1:20" x14ac:dyDescent="0.25">
      <c r="A150" t="s">
        <v>200</v>
      </c>
      <c r="B150" t="str">
        <f t="shared" si="5"/>
        <v>SPN</v>
      </c>
      <c r="G150" t="s">
        <v>291</v>
      </c>
      <c r="H150">
        <v>300009</v>
      </c>
      <c r="I150">
        <v>5</v>
      </c>
      <c r="L150" t="str">
        <f t="shared" si="4"/>
        <v>Squaliformes</v>
      </c>
    </row>
    <row r="151" spans="1:20" x14ac:dyDescent="0.25">
      <c r="A151" t="s">
        <v>278</v>
      </c>
      <c r="B151" t="str">
        <f t="shared" si="5"/>
        <v>SPY</v>
      </c>
      <c r="G151" t="s">
        <v>271</v>
      </c>
      <c r="H151">
        <v>600700</v>
      </c>
      <c r="I151">
        <v>5</v>
      </c>
      <c r="L151" t="str">
        <f t="shared" si="4"/>
        <v>Scymnodon ringens</v>
      </c>
    </row>
    <row r="152" spans="1:20" x14ac:dyDescent="0.25">
      <c r="A152" t="s">
        <v>234</v>
      </c>
      <c r="B152" t="str">
        <f t="shared" si="5"/>
        <v>SPZ</v>
      </c>
      <c r="G152" t="s">
        <v>247</v>
      </c>
      <c r="H152">
        <v>600854</v>
      </c>
      <c r="I152">
        <v>5</v>
      </c>
      <c r="L152" t="str">
        <f t="shared" si="4"/>
        <v>Scyliorhinus stellaris</v>
      </c>
    </row>
    <row r="153" spans="1:20" x14ac:dyDescent="0.25">
      <c r="A153" t="s">
        <v>172</v>
      </c>
      <c r="B153" t="str">
        <f t="shared" si="5"/>
        <v>SSM</v>
      </c>
      <c r="G153" t="s">
        <v>248</v>
      </c>
      <c r="H153">
        <v>400010</v>
      </c>
      <c r="I153">
        <v>5</v>
      </c>
      <c r="L153" t="str">
        <f t="shared" si="4"/>
        <v>Scyliorhinidae</v>
      </c>
    </row>
    <row r="154" spans="1:20" x14ac:dyDescent="0.25">
      <c r="A154" t="s">
        <v>240</v>
      </c>
      <c r="B154" t="str">
        <f t="shared" si="5"/>
        <v>SSP</v>
      </c>
      <c r="G154" t="s">
        <v>326</v>
      </c>
      <c r="H154">
        <v>400319</v>
      </c>
      <c r="I154">
        <v>6</v>
      </c>
      <c r="L154" t="str">
        <f t="shared" si="4"/>
        <v>Bramidae</v>
      </c>
    </row>
    <row r="155" spans="1:20" x14ac:dyDescent="0.25">
      <c r="A155" t="s">
        <v>305</v>
      </c>
      <c r="B155" t="str">
        <f t="shared" si="5"/>
        <v>STT</v>
      </c>
      <c r="G155" t="s">
        <v>215</v>
      </c>
      <c r="H155">
        <v>500639</v>
      </c>
      <c r="I155">
        <v>5</v>
      </c>
      <c r="L155" t="str">
        <f t="shared" si="4"/>
        <v>Alopias</v>
      </c>
    </row>
    <row r="156" spans="1:20" x14ac:dyDescent="0.25">
      <c r="A156" t="s">
        <v>170</v>
      </c>
      <c r="B156" t="str">
        <f t="shared" si="5"/>
        <v>SWO</v>
      </c>
      <c r="G156" t="s">
        <v>212</v>
      </c>
      <c r="H156">
        <v>600886</v>
      </c>
      <c r="I156">
        <v>5</v>
      </c>
      <c r="L156" t="str">
        <f t="shared" si="4"/>
        <v>Galeocerdo cuvier</v>
      </c>
    </row>
    <row r="157" spans="1:20" x14ac:dyDescent="0.25">
      <c r="A157" t="s">
        <v>246</v>
      </c>
      <c r="B157" t="str">
        <f t="shared" si="5"/>
        <v>SYC</v>
      </c>
      <c r="G157" t="s">
        <v>308</v>
      </c>
      <c r="H157">
        <v>100039</v>
      </c>
      <c r="I157">
        <v>6</v>
      </c>
      <c r="L157" t="str">
        <f t="shared" si="4"/>
        <v>Marine fishes not identified</v>
      </c>
    </row>
    <row r="158" spans="1:20" x14ac:dyDescent="0.25">
      <c r="A158" t="s">
        <v>291</v>
      </c>
      <c r="B158" t="str">
        <f t="shared" si="5"/>
        <v>SYO</v>
      </c>
      <c r="G158" t="s">
        <v>279</v>
      </c>
      <c r="H158">
        <v>400488</v>
      </c>
      <c r="I158">
        <v>5</v>
      </c>
      <c r="L158" t="str">
        <f t="shared" si="4"/>
        <v>Triakidae</v>
      </c>
    </row>
    <row r="159" spans="1:20" x14ac:dyDescent="0.25">
      <c r="A159" t="s">
        <v>271</v>
      </c>
      <c r="B159" t="str">
        <f t="shared" si="5"/>
        <v>SYR</v>
      </c>
      <c r="G159" t="s">
        <v>327</v>
      </c>
      <c r="H159">
        <v>603561</v>
      </c>
      <c r="I159">
        <v>6</v>
      </c>
      <c r="L159" t="str">
        <f t="shared" si="4"/>
        <v>Taractichthys steindachneri</v>
      </c>
    </row>
    <row r="160" spans="1:20" x14ac:dyDescent="0.25">
      <c r="A160" t="s">
        <v>247</v>
      </c>
      <c r="B160" t="str">
        <f t="shared" si="5"/>
        <v>SYT</v>
      </c>
      <c r="G160" t="s">
        <v>176</v>
      </c>
      <c r="H160">
        <v>400416</v>
      </c>
      <c r="I160">
        <v>4</v>
      </c>
      <c r="L160" t="str">
        <f t="shared" si="4"/>
        <v>Scombridae</v>
      </c>
    </row>
    <row r="161" spans="1:12" x14ac:dyDescent="0.25">
      <c r="A161" t="s">
        <v>248</v>
      </c>
      <c r="B161" t="str">
        <f t="shared" si="5"/>
        <v>SYX</v>
      </c>
      <c r="G161" t="s">
        <v>272</v>
      </c>
      <c r="H161">
        <v>501905</v>
      </c>
      <c r="I161">
        <v>4</v>
      </c>
      <c r="L161" t="str">
        <f t="shared" si="4"/>
        <v>Thunnus</v>
      </c>
    </row>
    <row r="162" spans="1:12" x14ac:dyDescent="0.25">
      <c r="A162" t="s">
        <v>344</v>
      </c>
      <c r="B162" t="str">
        <f t="shared" si="5"/>
        <v>TAL</v>
      </c>
      <c r="C162" t="s">
        <v>397</v>
      </c>
      <c r="G162" t="s">
        <v>374</v>
      </c>
      <c r="H162">
        <v>400416</v>
      </c>
      <c r="I162">
        <v>4</v>
      </c>
      <c r="L162" t="str">
        <f t="shared" si="4"/>
        <v>Scombridae</v>
      </c>
    </row>
    <row r="163" spans="1:12" x14ac:dyDescent="0.25">
      <c r="A163" t="s">
        <v>326</v>
      </c>
      <c r="B163" t="str">
        <f t="shared" si="5"/>
        <v>TCR</v>
      </c>
      <c r="G163" t="s">
        <v>188</v>
      </c>
      <c r="H163">
        <v>600089</v>
      </c>
      <c r="I163">
        <v>4</v>
      </c>
      <c r="L163" t="str">
        <f t="shared" si="4"/>
        <v>Acanthocybium solandri</v>
      </c>
    </row>
    <row r="164" spans="1:12" x14ac:dyDescent="0.25">
      <c r="A164" t="s">
        <v>215</v>
      </c>
      <c r="B164" t="str">
        <f t="shared" si="5"/>
        <v>THR</v>
      </c>
      <c r="G164" t="s">
        <v>182</v>
      </c>
      <c r="H164">
        <v>600219</v>
      </c>
      <c r="I164">
        <v>2</v>
      </c>
      <c r="L164" t="str">
        <f t="shared" si="4"/>
        <v>Kajikia albida</v>
      </c>
    </row>
    <row r="165" spans="1:12" x14ac:dyDescent="0.25">
      <c r="A165" t="s">
        <v>212</v>
      </c>
      <c r="B165" t="str">
        <f t="shared" si="5"/>
        <v>TIG</v>
      </c>
      <c r="G165" t="s">
        <v>218</v>
      </c>
      <c r="H165">
        <v>600751</v>
      </c>
      <c r="I165">
        <v>5</v>
      </c>
      <c r="L165" t="str">
        <f t="shared" ref="L165:L193" si="6">VLOOKUP(H165,S:T,2,FALSE)</f>
        <v>Carcharodon carcharias</v>
      </c>
    </row>
    <row r="166" spans="1:12" x14ac:dyDescent="0.25">
      <c r="A166" t="s">
        <v>322</v>
      </c>
      <c r="B166" t="str">
        <f t="shared" si="5"/>
        <v>TRG</v>
      </c>
      <c r="C166" t="s">
        <v>398</v>
      </c>
      <c r="G166" t="s">
        <v>186</v>
      </c>
      <c r="H166">
        <v>600143</v>
      </c>
      <c r="I166">
        <v>1</v>
      </c>
      <c r="L166" t="str">
        <f t="shared" si="6"/>
        <v>Thunnus albacares</v>
      </c>
    </row>
    <row r="167" spans="1:12" x14ac:dyDescent="0.25">
      <c r="A167" t="s">
        <v>308</v>
      </c>
      <c r="B167" t="str">
        <f t="shared" si="5"/>
        <v>TRI</v>
      </c>
      <c r="G167" t="s">
        <v>330</v>
      </c>
      <c r="H167">
        <v>600382</v>
      </c>
      <c r="I167">
        <v>6</v>
      </c>
      <c r="L167" t="str">
        <f t="shared" si="6"/>
        <v>Seriola lalandi</v>
      </c>
    </row>
    <row r="168" spans="1:12" x14ac:dyDescent="0.25">
      <c r="A168" t="s">
        <v>279</v>
      </c>
      <c r="B168" t="str">
        <f t="shared" si="5"/>
        <v>TRK</v>
      </c>
      <c r="G168" t="s">
        <v>343</v>
      </c>
      <c r="H168">
        <v>601081</v>
      </c>
      <c r="I168">
        <v>6</v>
      </c>
      <c r="L168" t="str">
        <f t="shared" si="6"/>
        <v>Aluterus schoepfii</v>
      </c>
    </row>
    <row r="169" spans="1:12" x14ac:dyDescent="0.25">
      <c r="A169" t="s">
        <v>327</v>
      </c>
      <c r="B169" t="str">
        <f t="shared" si="5"/>
        <v>TST</v>
      </c>
      <c r="G169" t="s">
        <v>338</v>
      </c>
      <c r="H169">
        <v>400360</v>
      </c>
      <c r="I169">
        <v>6</v>
      </c>
      <c r="L169" t="str">
        <f t="shared" si="6"/>
        <v>Sphyraenidae</v>
      </c>
    </row>
    <row r="170" spans="1:12" x14ac:dyDescent="0.25">
      <c r="A170" t="s">
        <v>176</v>
      </c>
      <c r="B170" t="str">
        <f t="shared" si="5"/>
        <v>TUN</v>
      </c>
      <c r="G170" t="s">
        <v>329</v>
      </c>
      <c r="H170">
        <v>400207</v>
      </c>
      <c r="I170">
        <v>6</v>
      </c>
      <c r="L170" t="str">
        <f t="shared" si="6"/>
        <v>Belonidae</v>
      </c>
    </row>
    <row r="171" spans="1:12" x14ac:dyDescent="0.25">
      <c r="A171" t="s">
        <v>272</v>
      </c>
      <c r="B171" t="str">
        <f t="shared" si="5"/>
        <v>TUS</v>
      </c>
      <c r="G171" t="s">
        <v>337</v>
      </c>
      <c r="H171">
        <v>300009</v>
      </c>
      <c r="I171">
        <v>5</v>
      </c>
      <c r="L171" t="str">
        <f t="shared" si="6"/>
        <v>Squaliformes</v>
      </c>
    </row>
    <row r="172" spans="1:12" x14ac:dyDescent="0.25">
      <c r="A172" t="s">
        <v>323</v>
      </c>
      <c r="B172" t="str">
        <f t="shared" si="5"/>
        <v>USE</v>
      </c>
      <c r="G172" t="s">
        <v>315</v>
      </c>
      <c r="H172">
        <v>400206</v>
      </c>
      <c r="I172">
        <v>6</v>
      </c>
      <c r="L172" t="str">
        <f t="shared" si="6"/>
        <v>Exocoetidae</v>
      </c>
    </row>
    <row r="173" spans="1:12" x14ac:dyDescent="0.25">
      <c r="A173" t="s">
        <v>340</v>
      </c>
      <c r="B173" t="str">
        <f t="shared" si="5"/>
        <v>VAD</v>
      </c>
      <c r="C173" t="s">
        <v>399</v>
      </c>
      <c r="G173" t="s">
        <v>328</v>
      </c>
      <c r="H173">
        <v>601278</v>
      </c>
      <c r="I173">
        <v>6</v>
      </c>
      <c r="L173" t="str">
        <f t="shared" si="6"/>
        <v>Trachurus mediterraneus</v>
      </c>
    </row>
    <row r="174" spans="1:12" x14ac:dyDescent="0.25">
      <c r="A174" t="s">
        <v>188</v>
      </c>
      <c r="B174" t="str">
        <f t="shared" si="5"/>
        <v>WAH</v>
      </c>
      <c r="G174" t="s">
        <v>323</v>
      </c>
      <c r="H174">
        <v>601012</v>
      </c>
      <c r="I174">
        <v>6</v>
      </c>
      <c r="L174" t="str">
        <f t="shared" si="6"/>
        <v>Uraspis secunda</v>
      </c>
    </row>
    <row r="175" spans="1:12" x14ac:dyDescent="0.25">
      <c r="A175" t="s">
        <v>182</v>
      </c>
      <c r="B175" t="str">
        <f t="shared" si="5"/>
        <v>WHM</v>
      </c>
      <c r="G175" t="s">
        <v>324</v>
      </c>
      <c r="H175">
        <v>601007</v>
      </c>
      <c r="I175">
        <v>6</v>
      </c>
      <c r="L175" t="str">
        <f t="shared" si="6"/>
        <v>Seriola rivoliana</v>
      </c>
    </row>
    <row r="176" spans="1:12" x14ac:dyDescent="0.25">
      <c r="A176" t="s">
        <v>218</v>
      </c>
      <c r="B176" t="str">
        <f t="shared" si="5"/>
        <v>WSH</v>
      </c>
      <c r="G176" s="2" t="s">
        <v>311</v>
      </c>
      <c r="H176" s="2">
        <v>604274</v>
      </c>
      <c r="I176" s="2">
        <v>6</v>
      </c>
      <c r="K176" t="s">
        <v>376</v>
      </c>
    </row>
    <row r="177" spans="1:11" x14ac:dyDescent="0.25">
      <c r="A177" t="s">
        <v>186</v>
      </c>
      <c r="B177" t="str">
        <f t="shared" si="5"/>
        <v>YFT</v>
      </c>
      <c r="G177" s="2" t="s">
        <v>332</v>
      </c>
      <c r="H177" s="2">
        <v>604931</v>
      </c>
      <c r="I177" s="2">
        <v>6</v>
      </c>
      <c r="K177" t="s">
        <v>380</v>
      </c>
    </row>
    <row r="178" spans="1:11" x14ac:dyDescent="0.25">
      <c r="A178" t="s">
        <v>330</v>
      </c>
      <c r="B178" t="str">
        <f t="shared" si="5"/>
        <v>YTC</v>
      </c>
      <c r="G178" s="2" t="s">
        <v>345</v>
      </c>
      <c r="H178" s="2">
        <v>603542</v>
      </c>
      <c r="I178" s="2">
        <v>6</v>
      </c>
      <c r="K178" t="s">
        <v>378</v>
      </c>
    </row>
    <row r="179" spans="1:11" x14ac:dyDescent="0.25">
      <c r="A179" t="s">
        <v>324</v>
      </c>
      <c r="B179" t="str">
        <f t="shared" si="5"/>
        <v>YTL</v>
      </c>
      <c r="G179" s="2" t="s">
        <v>312</v>
      </c>
      <c r="H179" s="2">
        <v>600007</v>
      </c>
      <c r="I179" s="2">
        <v>6</v>
      </c>
      <c r="K179" t="s">
        <v>382</v>
      </c>
    </row>
    <row r="180" spans="1:11" x14ac:dyDescent="0.25">
      <c r="G180" s="2" t="s">
        <v>313</v>
      </c>
      <c r="H180" s="2">
        <v>604278</v>
      </c>
      <c r="I180" s="2">
        <v>6</v>
      </c>
      <c r="K180" t="s">
        <v>383</v>
      </c>
    </row>
    <row r="181" spans="1:11" x14ac:dyDescent="0.25">
      <c r="G181" s="2" t="s">
        <v>314</v>
      </c>
      <c r="H181" s="2">
        <v>601022</v>
      </c>
      <c r="I181" s="2">
        <v>6</v>
      </c>
      <c r="K181" t="s">
        <v>384</v>
      </c>
    </row>
    <row r="182" spans="1:11" x14ac:dyDescent="0.25">
      <c r="G182" s="2" t="s">
        <v>316</v>
      </c>
      <c r="H182" s="2">
        <v>400414</v>
      </c>
      <c r="I182" s="2">
        <v>6</v>
      </c>
      <c r="K182" t="s">
        <v>388</v>
      </c>
    </row>
    <row r="183" spans="1:11" x14ac:dyDescent="0.25">
      <c r="G183" s="2" t="s">
        <v>333</v>
      </c>
      <c r="H183" s="2">
        <v>400448</v>
      </c>
      <c r="I183" s="2">
        <v>6</v>
      </c>
      <c r="K183" t="s">
        <v>389</v>
      </c>
    </row>
    <row r="184" spans="1:11" x14ac:dyDescent="0.25">
      <c r="G184" s="2" t="s">
        <v>336</v>
      </c>
      <c r="H184" s="2">
        <v>300007</v>
      </c>
      <c r="I184" s="2">
        <v>5</v>
      </c>
      <c r="K184" t="s">
        <v>390</v>
      </c>
    </row>
    <row r="185" spans="1:11" x14ac:dyDescent="0.25">
      <c r="G185" s="2" t="s">
        <v>331</v>
      </c>
      <c r="H185" s="2">
        <v>300063</v>
      </c>
      <c r="I185" s="2">
        <v>6</v>
      </c>
      <c r="K185" t="s">
        <v>391</v>
      </c>
    </row>
    <row r="186" spans="1:11" x14ac:dyDescent="0.25">
      <c r="G186" s="2" t="s">
        <v>317</v>
      </c>
      <c r="H186" s="2">
        <v>200006</v>
      </c>
      <c r="I186" s="2">
        <v>6</v>
      </c>
      <c r="K186" t="s">
        <v>392</v>
      </c>
    </row>
    <row r="187" spans="1:11" x14ac:dyDescent="0.25">
      <c r="G187" s="2" t="s">
        <v>318</v>
      </c>
      <c r="H187" s="2">
        <v>607618</v>
      </c>
      <c r="I187" s="2">
        <v>6</v>
      </c>
      <c r="K187" t="s">
        <v>393</v>
      </c>
    </row>
    <row r="188" spans="1:11" x14ac:dyDescent="0.25">
      <c r="G188" s="2" t="s">
        <v>342</v>
      </c>
      <c r="H188" s="2">
        <v>300063</v>
      </c>
      <c r="I188" s="2">
        <v>6</v>
      </c>
      <c r="K188" t="s">
        <v>394</v>
      </c>
    </row>
    <row r="189" spans="1:11" x14ac:dyDescent="0.25">
      <c r="G189" s="2" t="s">
        <v>339</v>
      </c>
      <c r="H189" s="2">
        <v>300063</v>
      </c>
      <c r="I189" s="2">
        <v>6</v>
      </c>
      <c r="K189" t="s">
        <v>395</v>
      </c>
    </row>
    <row r="190" spans="1:11" x14ac:dyDescent="0.25">
      <c r="G190" s="2" t="s">
        <v>321</v>
      </c>
      <c r="H190" s="2">
        <v>200006</v>
      </c>
      <c r="I190" s="2">
        <v>6</v>
      </c>
      <c r="K190" t="s">
        <v>396</v>
      </c>
    </row>
    <row r="191" spans="1:11" x14ac:dyDescent="0.25">
      <c r="G191" s="2" t="s">
        <v>344</v>
      </c>
      <c r="H191" s="2">
        <v>400319</v>
      </c>
      <c r="I191" s="2">
        <v>6</v>
      </c>
      <c r="K191" t="s">
        <v>397</v>
      </c>
    </row>
    <row r="192" spans="1:11" x14ac:dyDescent="0.25">
      <c r="G192" s="2" t="s">
        <v>322</v>
      </c>
      <c r="H192" s="2">
        <v>504755</v>
      </c>
      <c r="I192" s="2">
        <v>6</v>
      </c>
      <c r="K192" t="s">
        <v>398</v>
      </c>
    </row>
    <row r="193" spans="7:11" x14ac:dyDescent="0.25">
      <c r="G193" s="2" t="s">
        <v>340</v>
      </c>
      <c r="H193" s="2">
        <v>601894</v>
      </c>
      <c r="I193" s="2">
        <v>6</v>
      </c>
      <c r="K193" t="s">
        <v>399</v>
      </c>
    </row>
  </sheetData>
  <sortState xmlns:xlrd2="http://schemas.microsoft.com/office/spreadsheetml/2017/richdata2" ref="A1:A179">
    <sortCondition ref="A1:A17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3872-A62C-4343-8DB3-D78F1F3B2EF5}">
  <dimension ref="A1:C175"/>
  <sheetViews>
    <sheetView topLeftCell="A25" workbookViewId="0">
      <selection activeCell="F36" sqref="A1:XFD1048576"/>
    </sheetView>
  </sheetViews>
  <sheetFormatPr defaultRowHeight="15" x14ac:dyDescent="0.25"/>
  <sheetData>
    <row r="1" spans="1:3" x14ac:dyDescent="0.25">
      <c r="A1">
        <v>600736</v>
      </c>
      <c r="B1" t="s">
        <v>496</v>
      </c>
      <c r="C1">
        <v>5</v>
      </c>
    </row>
    <row r="2" spans="1:3" x14ac:dyDescent="0.25">
      <c r="A2">
        <v>600142</v>
      </c>
      <c r="B2" t="s">
        <v>375</v>
      </c>
      <c r="C2">
        <v>1</v>
      </c>
    </row>
    <row r="3" spans="1:3" x14ac:dyDescent="0.25">
      <c r="A3">
        <v>600858</v>
      </c>
      <c r="B3" t="s">
        <v>504</v>
      </c>
      <c r="C3">
        <v>5</v>
      </c>
    </row>
    <row r="4" spans="1:3" x14ac:dyDescent="0.25">
      <c r="A4">
        <v>602535</v>
      </c>
      <c r="B4" t="s">
        <v>540</v>
      </c>
      <c r="C4">
        <v>5</v>
      </c>
    </row>
    <row r="5" spans="1:3" x14ac:dyDescent="0.25">
      <c r="A5">
        <v>601005</v>
      </c>
      <c r="B5" t="s">
        <v>523</v>
      </c>
      <c r="C5">
        <v>6</v>
      </c>
    </row>
    <row r="6" spans="1:3" x14ac:dyDescent="0.25">
      <c r="A6">
        <v>500928</v>
      </c>
      <c r="B6" t="s">
        <v>435</v>
      </c>
      <c r="C6">
        <v>6</v>
      </c>
    </row>
    <row r="7" spans="1:3" x14ac:dyDescent="0.25">
      <c r="A7">
        <v>400010</v>
      </c>
      <c r="B7" t="s">
        <v>411</v>
      </c>
      <c r="C7">
        <v>5</v>
      </c>
    </row>
    <row r="8" spans="1:3" x14ac:dyDescent="0.25">
      <c r="A8">
        <v>400015</v>
      </c>
      <c r="B8" t="s">
        <v>415</v>
      </c>
      <c r="C8">
        <v>5</v>
      </c>
    </row>
    <row r="9" spans="1:3" x14ac:dyDescent="0.25">
      <c r="A9">
        <v>600146</v>
      </c>
      <c r="B9" t="s">
        <v>467</v>
      </c>
      <c r="C9">
        <v>1</v>
      </c>
    </row>
    <row r="10" spans="1:3" x14ac:dyDescent="0.25">
      <c r="A10">
        <v>600147</v>
      </c>
      <c r="B10" t="s">
        <v>468</v>
      </c>
      <c r="C10">
        <v>1</v>
      </c>
    </row>
    <row r="11" spans="1:3" x14ac:dyDescent="0.25">
      <c r="A11">
        <v>400419</v>
      </c>
      <c r="B11" t="s">
        <v>423</v>
      </c>
      <c r="C11">
        <v>2</v>
      </c>
    </row>
    <row r="12" spans="1:3" x14ac:dyDescent="0.25">
      <c r="A12">
        <v>600144</v>
      </c>
      <c r="B12" t="s">
        <v>465</v>
      </c>
      <c r="C12">
        <v>4</v>
      </c>
    </row>
    <row r="13" spans="1:3" x14ac:dyDescent="0.25">
      <c r="A13">
        <v>600217</v>
      </c>
      <c r="B13" t="s">
        <v>470</v>
      </c>
      <c r="C13">
        <v>2</v>
      </c>
    </row>
    <row r="14" spans="1:3" x14ac:dyDescent="0.25">
      <c r="A14">
        <v>600877</v>
      </c>
      <c r="B14" t="s">
        <v>511</v>
      </c>
      <c r="C14">
        <v>5</v>
      </c>
    </row>
    <row r="15" spans="1:3" x14ac:dyDescent="0.25">
      <c r="A15">
        <v>600093</v>
      </c>
      <c r="B15" t="s">
        <v>445</v>
      </c>
      <c r="C15">
        <v>4</v>
      </c>
    </row>
    <row r="16" spans="1:3" x14ac:dyDescent="0.25">
      <c r="A16">
        <v>600115</v>
      </c>
      <c r="B16" t="s">
        <v>452</v>
      </c>
      <c r="C16">
        <v>4</v>
      </c>
    </row>
    <row r="17" spans="1:3" x14ac:dyDescent="0.25">
      <c r="A17">
        <v>600108</v>
      </c>
      <c r="B17" t="s">
        <v>451</v>
      </c>
      <c r="C17">
        <v>4</v>
      </c>
    </row>
    <row r="18" spans="1:3" x14ac:dyDescent="0.25">
      <c r="A18">
        <v>600864</v>
      </c>
      <c r="B18" t="s">
        <v>505</v>
      </c>
      <c r="C18">
        <v>5</v>
      </c>
    </row>
    <row r="19" spans="1:3" x14ac:dyDescent="0.25">
      <c r="A19">
        <v>600119</v>
      </c>
      <c r="B19" t="s">
        <v>455</v>
      </c>
      <c r="C19">
        <v>4</v>
      </c>
    </row>
    <row r="20" spans="1:3" x14ac:dyDescent="0.25">
      <c r="A20">
        <v>600646</v>
      </c>
      <c r="B20" t="s">
        <v>482</v>
      </c>
      <c r="C20">
        <v>6</v>
      </c>
    </row>
    <row r="21" spans="1:3" x14ac:dyDescent="0.25">
      <c r="A21">
        <v>600898</v>
      </c>
      <c r="B21" t="s">
        <v>517</v>
      </c>
      <c r="C21">
        <v>3</v>
      </c>
    </row>
    <row r="22" spans="1:3" x14ac:dyDescent="0.25">
      <c r="A22">
        <v>600090</v>
      </c>
      <c r="B22" t="s">
        <v>443</v>
      </c>
      <c r="C22">
        <v>5</v>
      </c>
    </row>
    <row r="23" spans="1:3" x14ac:dyDescent="0.25">
      <c r="A23">
        <v>602534</v>
      </c>
      <c r="B23" t="s">
        <v>539</v>
      </c>
      <c r="C23">
        <v>5</v>
      </c>
    </row>
    <row r="24" spans="1:3" x14ac:dyDescent="0.25">
      <c r="A24">
        <v>600100</v>
      </c>
      <c r="B24" t="s">
        <v>449</v>
      </c>
      <c r="C24">
        <v>4</v>
      </c>
    </row>
    <row r="25" spans="1:3" x14ac:dyDescent="0.25">
      <c r="A25" t="s">
        <v>551</v>
      </c>
      <c r="B25" t="s">
        <v>552</v>
      </c>
      <c r="C25" t="s">
        <v>553</v>
      </c>
    </row>
    <row r="26" spans="1:3" x14ac:dyDescent="0.25">
      <c r="A26">
        <v>600216</v>
      </c>
      <c r="B26" t="s">
        <v>469</v>
      </c>
      <c r="C26">
        <v>2</v>
      </c>
    </row>
    <row r="27" spans="1:3" x14ac:dyDescent="0.25">
      <c r="A27">
        <v>500816</v>
      </c>
      <c r="B27" t="s">
        <v>434</v>
      </c>
      <c r="C27">
        <v>5</v>
      </c>
    </row>
    <row r="28" spans="1:3" x14ac:dyDescent="0.25">
      <c r="A28">
        <v>500816</v>
      </c>
      <c r="B28" t="s">
        <v>434</v>
      </c>
      <c r="C28">
        <v>5</v>
      </c>
    </row>
    <row r="29" spans="1:3" x14ac:dyDescent="0.25">
      <c r="A29">
        <v>600873</v>
      </c>
      <c r="B29" t="s">
        <v>508</v>
      </c>
      <c r="C29">
        <v>5</v>
      </c>
    </row>
    <row r="30" spans="1:3" x14ac:dyDescent="0.25">
      <c r="A30">
        <v>600870</v>
      </c>
      <c r="B30" t="s">
        <v>507</v>
      </c>
      <c r="C30">
        <v>5</v>
      </c>
    </row>
    <row r="31" spans="1:3" x14ac:dyDescent="0.25">
      <c r="A31">
        <v>600874</v>
      </c>
      <c r="B31" t="s">
        <v>509</v>
      </c>
      <c r="C31">
        <v>5</v>
      </c>
    </row>
    <row r="32" spans="1:3" x14ac:dyDescent="0.25">
      <c r="A32">
        <v>500816</v>
      </c>
      <c r="B32" t="s">
        <v>434</v>
      </c>
      <c r="C32">
        <v>5</v>
      </c>
    </row>
    <row r="33" spans="1:3" x14ac:dyDescent="0.25">
      <c r="A33">
        <v>500816</v>
      </c>
      <c r="B33" t="s">
        <v>434</v>
      </c>
      <c r="C33">
        <v>5</v>
      </c>
    </row>
    <row r="34" spans="1:3" x14ac:dyDescent="0.25">
      <c r="A34">
        <v>600880</v>
      </c>
      <c r="B34" t="s">
        <v>513</v>
      </c>
      <c r="C34">
        <v>5</v>
      </c>
    </row>
    <row r="35" spans="1:3" x14ac:dyDescent="0.25">
      <c r="A35">
        <v>600881</v>
      </c>
      <c r="B35" t="s">
        <v>514</v>
      </c>
      <c r="C35">
        <v>5</v>
      </c>
    </row>
    <row r="36" spans="1:3" x14ac:dyDescent="0.25">
      <c r="A36">
        <v>500816</v>
      </c>
      <c r="B36" t="s">
        <v>434</v>
      </c>
      <c r="C36">
        <v>5</v>
      </c>
    </row>
    <row r="37" spans="1:3" x14ac:dyDescent="0.25">
      <c r="A37">
        <v>600747</v>
      </c>
      <c r="B37" t="s">
        <v>497</v>
      </c>
      <c r="C37">
        <v>5</v>
      </c>
    </row>
    <row r="38" spans="1:3" x14ac:dyDescent="0.25">
      <c r="A38">
        <v>600134</v>
      </c>
      <c r="B38" t="s">
        <v>460</v>
      </c>
      <c r="C38">
        <v>4</v>
      </c>
    </row>
    <row r="39" spans="1:3" x14ac:dyDescent="0.25">
      <c r="A39">
        <v>600656</v>
      </c>
      <c r="B39" t="s">
        <v>486</v>
      </c>
      <c r="C39">
        <v>5</v>
      </c>
    </row>
    <row r="40" spans="1:3" x14ac:dyDescent="0.25">
      <c r="A40">
        <v>600121</v>
      </c>
      <c r="B40" t="s">
        <v>457</v>
      </c>
      <c r="C40">
        <v>4</v>
      </c>
    </row>
    <row r="41" spans="1:3" x14ac:dyDescent="0.25">
      <c r="A41">
        <v>600650</v>
      </c>
      <c r="B41" t="s">
        <v>484</v>
      </c>
      <c r="C41">
        <v>5</v>
      </c>
    </row>
    <row r="42" spans="1:3" x14ac:dyDescent="0.25">
      <c r="A42">
        <v>602540</v>
      </c>
      <c r="B42" t="s">
        <v>542</v>
      </c>
      <c r="C42">
        <v>5</v>
      </c>
    </row>
    <row r="43" spans="1:3" x14ac:dyDescent="0.25">
      <c r="A43">
        <v>400415</v>
      </c>
      <c r="B43" t="s">
        <v>421</v>
      </c>
      <c r="C43">
        <v>6</v>
      </c>
    </row>
    <row r="44" spans="1:3" x14ac:dyDescent="0.25">
      <c r="A44">
        <v>600071</v>
      </c>
      <c r="B44" t="s">
        <v>439</v>
      </c>
      <c r="C44">
        <v>6</v>
      </c>
    </row>
    <row r="45" spans="1:3" x14ac:dyDescent="0.25">
      <c r="A45">
        <v>300008</v>
      </c>
      <c r="B45" t="s">
        <v>408</v>
      </c>
      <c r="C45">
        <v>5</v>
      </c>
    </row>
    <row r="46" spans="1:3" x14ac:dyDescent="0.25">
      <c r="A46">
        <v>200007</v>
      </c>
      <c r="B46" t="e">
        <v>#N/A</v>
      </c>
      <c r="C46">
        <v>5</v>
      </c>
    </row>
    <row r="47" spans="1:3" x14ac:dyDescent="0.25">
      <c r="A47">
        <v>600662</v>
      </c>
      <c r="B47" t="s">
        <v>487</v>
      </c>
      <c r="C47">
        <v>5</v>
      </c>
    </row>
    <row r="48" spans="1:3" x14ac:dyDescent="0.25">
      <c r="A48">
        <v>600663</v>
      </c>
      <c r="B48" t="s">
        <v>488</v>
      </c>
      <c r="C48">
        <v>5</v>
      </c>
    </row>
    <row r="49" spans="1:3" x14ac:dyDescent="0.25">
      <c r="A49">
        <v>600670</v>
      </c>
      <c r="B49" t="s">
        <v>490</v>
      </c>
      <c r="C49">
        <v>5</v>
      </c>
    </row>
    <row r="50" spans="1:3" x14ac:dyDescent="0.25">
      <c r="A50">
        <v>300009</v>
      </c>
      <c r="B50" t="s">
        <v>409</v>
      </c>
      <c r="C50">
        <v>5</v>
      </c>
    </row>
    <row r="51" spans="1:3" x14ac:dyDescent="0.25">
      <c r="A51">
        <v>600139</v>
      </c>
      <c r="B51" t="s">
        <v>462</v>
      </c>
      <c r="C51">
        <v>5</v>
      </c>
    </row>
    <row r="52" spans="1:3" x14ac:dyDescent="0.25">
      <c r="A52">
        <v>400013</v>
      </c>
      <c r="B52" t="s">
        <v>414</v>
      </c>
      <c r="C52">
        <v>5</v>
      </c>
    </row>
    <row r="53" spans="1:3" x14ac:dyDescent="0.25">
      <c r="A53">
        <v>500107</v>
      </c>
      <c r="B53" t="s">
        <v>425</v>
      </c>
      <c r="C53">
        <v>5</v>
      </c>
    </row>
    <row r="54" spans="1:3" x14ac:dyDescent="0.25">
      <c r="A54">
        <v>600006</v>
      </c>
      <c r="B54" t="s">
        <v>438</v>
      </c>
      <c r="C54">
        <v>6</v>
      </c>
    </row>
    <row r="55" spans="1:3" x14ac:dyDescent="0.25">
      <c r="A55">
        <v>400013</v>
      </c>
      <c r="B55" t="s">
        <v>414</v>
      </c>
      <c r="C55">
        <v>5</v>
      </c>
    </row>
    <row r="56" spans="1:3" x14ac:dyDescent="0.25">
      <c r="A56">
        <v>600878</v>
      </c>
      <c r="B56" t="s">
        <v>512</v>
      </c>
      <c r="C56">
        <v>5</v>
      </c>
    </row>
    <row r="57" spans="1:3" x14ac:dyDescent="0.25">
      <c r="A57">
        <v>500642</v>
      </c>
      <c r="B57" t="s">
        <v>431</v>
      </c>
      <c r="C57">
        <v>5</v>
      </c>
    </row>
    <row r="58" spans="1:3" x14ac:dyDescent="0.25">
      <c r="A58">
        <v>600687</v>
      </c>
      <c r="B58" t="s">
        <v>491</v>
      </c>
      <c r="C58">
        <v>5</v>
      </c>
    </row>
    <row r="59" spans="1:3" x14ac:dyDescent="0.25">
      <c r="A59">
        <v>600868</v>
      </c>
      <c r="B59" t="s">
        <v>506</v>
      </c>
      <c r="C59">
        <v>5</v>
      </c>
    </row>
    <row r="60" spans="1:3" x14ac:dyDescent="0.25">
      <c r="A60">
        <v>600094</v>
      </c>
      <c r="B60" t="s">
        <v>446</v>
      </c>
      <c r="C60">
        <v>4</v>
      </c>
    </row>
    <row r="61" spans="1:3" x14ac:dyDescent="0.25">
      <c r="A61">
        <v>501163</v>
      </c>
      <c r="B61" t="s">
        <v>436</v>
      </c>
      <c r="C61">
        <v>4</v>
      </c>
    </row>
    <row r="62" spans="1:3" x14ac:dyDescent="0.25">
      <c r="A62">
        <v>604642</v>
      </c>
      <c r="B62" t="s">
        <v>545</v>
      </c>
      <c r="C62">
        <v>5</v>
      </c>
    </row>
    <row r="63" spans="1:3" x14ac:dyDescent="0.25">
      <c r="A63">
        <v>100039</v>
      </c>
      <c r="B63" t="s">
        <v>406</v>
      </c>
      <c r="C63">
        <v>6</v>
      </c>
    </row>
    <row r="64" spans="1:3" x14ac:dyDescent="0.25">
      <c r="A64">
        <v>500640</v>
      </c>
      <c r="B64" t="s">
        <v>430</v>
      </c>
      <c r="C64">
        <v>5</v>
      </c>
    </row>
    <row r="65" spans="1:3" x14ac:dyDescent="0.25">
      <c r="A65">
        <v>601235</v>
      </c>
      <c r="B65" t="s">
        <v>531</v>
      </c>
      <c r="C65">
        <v>6</v>
      </c>
    </row>
    <row r="66" spans="1:3" x14ac:dyDescent="0.25">
      <c r="A66">
        <v>602532</v>
      </c>
      <c r="B66" t="s">
        <v>538</v>
      </c>
      <c r="C66">
        <v>5</v>
      </c>
    </row>
    <row r="67" spans="1:3" x14ac:dyDescent="0.25">
      <c r="A67">
        <v>200004</v>
      </c>
      <c r="B67" t="s">
        <v>407</v>
      </c>
      <c r="C67">
        <v>5</v>
      </c>
    </row>
    <row r="68" spans="1:3" x14ac:dyDescent="0.25">
      <c r="A68">
        <v>600138</v>
      </c>
      <c r="B68" t="s">
        <v>461</v>
      </c>
      <c r="C68">
        <v>5</v>
      </c>
    </row>
    <row r="69" spans="1:3" x14ac:dyDescent="0.25">
      <c r="A69">
        <v>600648</v>
      </c>
      <c r="B69" t="s">
        <v>483</v>
      </c>
      <c r="C69">
        <v>5</v>
      </c>
    </row>
    <row r="70" spans="1:3" x14ac:dyDescent="0.25">
      <c r="A70">
        <v>600653</v>
      </c>
      <c r="B70" t="s">
        <v>485</v>
      </c>
      <c r="C70">
        <v>5</v>
      </c>
    </row>
    <row r="71" spans="1:3" x14ac:dyDescent="0.25">
      <c r="A71">
        <v>600636</v>
      </c>
      <c r="B71" t="s">
        <v>478</v>
      </c>
      <c r="C71">
        <v>5</v>
      </c>
    </row>
    <row r="72" spans="1:3" x14ac:dyDescent="0.25">
      <c r="A72">
        <v>600096</v>
      </c>
      <c r="B72" t="s">
        <v>447</v>
      </c>
      <c r="C72">
        <v>4</v>
      </c>
    </row>
    <row r="73" spans="1:3" x14ac:dyDescent="0.25">
      <c r="A73">
        <v>600120</v>
      </c>
      <c r="B73" t="s">
        <v>456</v>
      </c>
      <c r="C73">
        <v>4</v>
      </c>
    </row>
    <row r="74" spans="1:3" x14ac:dyDescent="0.25">
      <c r="A74">
        <v>500487</v>
      </c>
      <c r="B74" t="s">
        <v>428</v>
      </c>
      <c r="C74">
        <v>4</v>
      </c>
    </row>
    <row r="75" spans="1:3" x14ac:dyDescent="0.25">
      <c r="A75">
        <v>601072</v>
      </c>
      <c r="B75" t="s">
        <v>528</v>
      </c>
      <c r="C75">
        <v>6</v>
      </c>
    </row>
    <row r="76" spans="1:3" x14ac:dyDescent="0.25">
      <c r="A76">
        <v>601042</v>
      </c>
      <c r="B76" t="s">
        <v>526</v>
      </c>
      <c r="C76">
        <v>6</v>
      </c>
    </row>
    <row r="77" spans="1:3" x14ac:dyDescent="0.25">
      <c r="A77">
        <v>100039</v>
      </c>
      <c r="B77" t="s">
        <v>406</v>
      </c>
      <c r="C77">
        <v>6</v>
      </c>
    </row>
    <row r="78" spans="1:3" x14ac:dyDescent="0.25">
      <c r="A78">
        <v>400488</v>
      </c>
      <c r="B78" t="s">
        <v>424</v>
      </c>
      <c r="C78">
        <v>5</v>
      </c>
    </row>
    <row r="79" spans="1:3" x14ac:dyDescent="0.25">
      <c r="A79">
        <v>600753</v>
      </c>
      <c r="B79" t="s">
        <v>500</v>
      </c>
      <c r="C79">
        <v>5</v>
      </c>
    </row>
    <row r="80" spans="1:3" x14ac:dyDescent="0.25">
      <c r="A80">
        <v>100039</v>
      </c>
      <c r="B80" t="s">
        <v>406</v>
      </c>
      <c r="C80">
        <v>6</v>
      </c>
    </row>
    <row r="81" spans="1:3" x14ac:dyDescent="0.25">
      <c r="A81">
        <v>600097</v>
      </c>
      <c r="B81" t="s">
        <v>448</v>
      </c>
      <c r="C81">
        <v>4</v>
      </c>
    </row>
    <row r="82" spans="1:3" x14ac:dyDescent="0.25">
      <c r="A82">
        <v>600118</v>
      </c>
      <c r="B82" t="s">
        <v>454</v>
      </c>
      <c r="C82">
        <v>4</v>
      </c>
    </row>
    <row r="83" spans="1:3" x14ac:dyDescent="0.25">
      <c r="A83">
        <v>600117</v>
      </c>
      <c r="B83" t="s">
        <v>453</v>
      </c>
      <c r="C83">
        <v>4</v>
      </c>
    </row>
    <row r="84" spans="1:3" x14ac:dyDescent="0.25">
      <c r="A84">
        <v>600141</v>
      </c>
      <c r="B84" t="s">
        <v>463</v>
      </c>
      <c r="C84">
        <v>4</v>
      </c>
    </row>
    <row r="85" spans="1:3" x14ac:dyDescent="0.25">
      <c r="A85">
        <v>400416</v>
      </c>
      <c r="B85" t="s">
        <v>422</v>
      </c>
      <c r="C85">
        <v>4</v>
      </c>
    </row>
    <row r="86" spans="1:3" x14ac:dyDescent="0.25">
      <c r="A86">
        <v>600223</v>
      </c>
      <c r="B86" t="s">
        <v>473</v>
      </c>
      <c r="C86">
        <v>2</v>
      </c>
    </row>
    <row r="87" spans="1:3" x14ac:dyDescent="0.25">
      <c r="A87">
        <v>500358</v>
      </c>
      <c r="B87" t="s">
        <v>427</v>
      </c>
      <c r="C87">
        <v>4</v>
      </c>
    </row>
    <row r="88" spans="1:3" x14ac:dyDescent="0.25">
      <c r="A88">
        <v>600117</v>
      </c>
      <c r="B88" t="s">
        <v>453</v>
      </c>
      <c r="C88">
        <v>4</v>
      </c>
    </row>
    <row r="89" spans="1:3" x14ac:dyDescent="0.25">
      <c r="A89">
        <v>400009</v>
      </c>
      <c r="B89" t="s">
        <v>410</v>
      </c>
      <c r="C89">
        <v>5</v>
      </c>
    </row>
    <row r="90" spans="1:3" x14ac:dyDescent="0.25">
      <c r="A90">
        <v>601823</v>
      </c>
      <c r="B90" t="s">
        <v>533</v>
      </c>
      <c r="C90">
        <v>2</v>
      </c>
    </row>
    <row r="91" spans="1:3" x14ac:dyDescent="0.25">
      <c r="A91">
        <v>100039</v>
      </c>
      <c r="B91" t="s">
        <v>406</v>
      </c>
      <c r="C91">
        <v>6</v>
      </c>
    </row>
    <row r="92" spans="1:3" x14ac:dyDescent="0.25">
      <c r="A92">
        <v>600897</v>
      </c>
      <c r="B92" t="s">
        <v>516</v>
      </c>
      <c r="C92">
        <v>5</v>
      </c>
    </row>
    <row r="93" spans="1:3" x14ac:dyDescent="0.25">
      <c r="A93">
        <v>600131</v>
      </c>
      <c r="B93" t="s">
        <v>459</v>
      </c>
      <c r="C93">
        <v>4</v>
      </c>
    </row>
    <row r="94" spans="1:3" x14ac:dyDescent="0.25">
      <c r="A94">
        <v>602531</v>
      </c>
      <c r="B94" t="s">
        <v>537</v>
      </c>
      <c r="C94">
        <v>5</v>
      </c>
    </row>
    <row r="95" spans="1:3" x14ac:dyDescent="0.25">
      <c r="A95">
        <v>600875</v>
      </c>
      <c r="B95" t="s">
        <v>510</v>
      </c>
      <c r="C95">
        <v>5</v>
      </c>
    </row>
    <row r="96" spans="1:3" x14ac:dyDescent="0.25">
      <c r="A96">
        <v>601044</v>
      </c>
      <c r="B96" t="s">
        <v>527</v>
      </c>
      <c r="C96">
        <v>6</v>
      </c>
    </row>
    <row r="97" spans="1:3" x14ac:dyDescent="0.25">
      <c r="A97">
        <v>600719</v>
      </c>
      <c r="B97" t="s">
        <v>495</v>
      </c>
      <c r="C97">
        <v>5</v>
      </c>
    </row>
    <row r="98" spans="1:3" x14ac:dyDescent="0.25">
      <c r="A98">
        <v>600718</v>
      </c>
      <c r="B98" t="s">
        <v>494</v>
      </c>
      <c r="C98">
        <v>5</v>
      </c>
    </row>
    <row r="99" spans="1:3" x14ac:dyDescent="0.25">
      <c r="A99">
        <v>400020</v>
      </c>
      <c r="B99" t="s">
        <v>416</v>
      </c>
      <c r="C99">
        <v>6</v>
      </c>
    </row>
    <row r="100" spans="1:3" x14ac:dyDescent="0.25">
      <c r="A100">
        <v>600391</v>
      </c>
      <c r="B100" t="s">
        <v>476</v>
      </c>
      <c r="C100">
        <v>6</v>
      </c>
    </row>
    <row r="101" spans="1:3" x14ac:dyDescent="0.25">
      <c r="A101">
        <v>600088</v>
      </c>
      <c r="B101" t="s">
        <v>441</v>
      </c>
      <c r="C101">
        <v>5</v>
      </c>
    </row>
    <row r="102" spans="1:3" x14ac:dyDescent="0.25">
      <c r="A102">
        <v>605923</v>
      </c>
      <c r="B102" t="s">
        <v>548</v>
      </c>
      <c r="C102">
        <v>5</v>
      </c>
    </row>
    <row r="103" spans="1:3" x14ac:dyDescent="0.25">
      <c r="A103">
        <v>605891</v>
      </c>
      <c r="B103" t="s">
        <v>547</v>
      </c>
      <c r="C103">
        <v>5</v>
      </c>
    </row>
    <row r="104" spans="1:3" x14ac:dyDescent="0.25">
      <c r="A104">
        <v>602536</v>
      </c>
      <c r="B104" t="s">
        <v>541</v>
      </c>
      <c r="C104">
        <v>5</v>
      </c>
    </row>
    <row r="105" spans="1:3" x14ac:dyDescent="0.25">
      <c r="A105">
        <v>200004</v>
      </c>
      <c r="B105" t="s">
        <v>407</v>
      </c>
      <c r="C105">
        <v>5</v>
      </c>
    </row>
    <row r="106" spans="1:3" x14ac:dyDescent="0.25">
      <c r="A106">
        <v>100039</v>
      </c>
      <c r="B106" t="s">
        <v>406</v>
      </c>
      <c r="C106">
        <v>6</v>
      </c>
    </row>
    <row r="107" spans="1:3" x14ac:dyDescent="0.25">
      <c r="A107">
        <v>300009</v>
      </c>
      <c r="B107" t="s">
        <v>409</v>
      </c>
      <c r="C107">
        <v>5</v>
      </c>
    </row>
    <row r="108" spans="1:3" x14ac:dyDescent="0.25">
      <c r="A108">
        <v>400011</v>
      </c>
      <c r="B108" t="s">
        <v>412</v>
      </c>
      <c r="C108">
        <v>5</v>
      </c>
    </row>
    <row r="109" spans="1:3" x14ac:dyDescent="0.25">
      <c r="A109">
        <v>602081</v>
      </c>
      <c r="B109" t="s">
        <v>536</v>
      </c>
      <c r="C109">
        <v>5</v>
      </c>
    </row>
    <row r="110" spans="1:3" x14ac:dyDescent="0.25">
      <c r="A110">
        <v>600905</v>
      </c>
      <c r="B110" t="s">
        <v>518</v>
      </c>
      <c r="C110">
        <v>5</v>
      </c>
    </row>
    <row r="111" spans="1:3" x14ac:dyDescent="0.25">
      <c r="A111">
        <v>400011</v>
      </c>
      <c r="B111" t="s">
        <v>412</v>
      </c>
      <c r="C111">
        <v>5</v>
      </c>
    </row>
    <row r="112" spans="1:3" x14ac:dyDescent="0.25">
      <c r="A112">
        <v>602061</v>
      </c>
      <c r="B112" t="s">
        <v>535</v>
      </c>
      <c r="C112">
        <v>6</v>
      </c>
    </row>
    <row r="113" spans="1:3" x14ac:dyDescent="0.25">
      <c r="A113">
        <v>600412</v>
      </c>
      <c r="B113" t="s">
        <v>477</v>
      </c>
      <c r="C113">
        <v>4</v>
      </c>
    </row>
    <row r="114" spans="1:3" x14ac:dyDescent="0.25">
      <c r="A114">
        <v>400011</v>
      </c>
      <c r="B114" t="s">
        <v>412</v>
      </c>
      <c r="C114">
        <v>5</v>
      </c>
    </row>
    <row r="115" spans="1:3" x14ac:dyDescent="0.25">
      <c r="A115">
        <v>400419</v>
      </c>
      <c r="B115" t="s">
        <v>423</v>
      </c>
      <c r="C115">
        <v>2</v>
      </c>
    </row>
    <row r="116" spans="1:3" x14ac:dyDescent="0.25">
      <c r="A116">
        <v>601933</v>
      </c>
      <c r="B116" t="s">
        <v>534</v>
      </c>
      <c r="C116">
        <v>6</v>
      </c>
    </row>
    <row r="117" spans="1:3" x14ac:dyDescent="0.25">
      <c r="A117">
        <v>600078</v>
      </c>
      <c r="B117" t="s">
        <v>440</v>
      </c>
      <c r="C117">
        <v>2</v>
      </c>
    </row>
    <row r="118" spans="1:3" x14ac:dyDescent="0.25">
      <c r="A118">
        <v>601084</v>
      </c>
      <c r="B118" t="s">
        <v>530</v>
      </c>
      <c r="C118">
        <v>6</v>
      </c>
    </row>
    <row r="119" spans="1:3" x14ac:dyDescent="0.25">
      <c r="A119">
        <v>600145</v>
      </c>
      <c r="B119" t="s">
        <v>466</v>
      </c>
      <c r="C119">
        <v>1</v>
      </c>
    </row>
    <row r="120" spans="1:3" x14ac:dyDescent="0.25">
      <c r="A120">
        <v>600637</v>
      </c>
      <c r="B120" t="s">
        <v>479</v>
      </c>
      <c r="C120">
        <v>5</v>
      </c>
    </row>
    <row r="121" spans="1:3" x14ac:dyDescent="0.25">
      <c r="A121">
        <v>600669</v>
      </c>
      <c r="B121" t="s">
        <v>489</v>
      </c>
      <c r="C121">
        <v>5</v>
      </c>
    </row>
    <row r="122" spans="1:3" x14ac:dyDescent="0.25">
      <c r="A122">
        <v>500814</v>
      </c>
      <c r="B122" t="s">
        <v>433</v>
      </c>
      <c r="C122">
        <v>5</v>
      </c>
    </row>
    <row r="123" spans="1:3" x14ac:dyDescent="0.25">
      <c r="A123">
        <v>605937</v>
      </c>
      <c r="B123" t="s">
        <v>549</v>
      </c>
      <c r="C123">
        <v>5</v>
      </c>
    </row>
    <row r="124" spans="1:3" x14ac:dyDescent="0.25">
      <c r="A124">
        <v>605938</v>
      </c>
      <c r="B124" t="s">
        <v>550</v>
      </c>
      <c r="C124">
        <v>5</v>
      </c>
    </row>
    <row r="125" spans="1:3" x14ac:dyDescent="0.25">
      <c r="A125">
        <v>500348</v>
      </c>
      <c r="B125" t="s">
        <v>426</v>
      </c>
      <c r="C125">
        <v>5</v>
      </c>
    </row>
    <row r="126" spans="1:3" x14ac:dyDescent="0.25">
      <c r="A126">
        <v>600645</v>
      </c>
      <c r="B126" t="s">
        <v>481</v>
      </c>
      <c r="C126">
        <v>6</v>
      </c>
    </row>
    <row r="127" spans="1:3" x14ac:dyDescent="0.25">
      <c r="A127">
        <v>600641</v>
      </c>
      <c r="B127" t="s">
        <v>480</v>
      </c>
      <c r="C127">
        <v>5</v>
      </c>
    </row>
    <row r="128" spans="1:3" x14ac:dyDescent="0.25">
      <c r="A128">
        <v>500642</v>
      </c>
      <c r="B128" t="s">
        <v>431</v>
      </c>
      <c r="C128">
        <v>5</v>
      </c>
    </row>
    <row r="129" spans="1:3" x14ac:dyDescent="0.25">
      <c r="A129">
        <v>600807</v>
      </c>
      <c r="B129" t="s">
        <v>501</v>
      </c>
      <c r="C129">
        <v>5</v>
      </c>
    </row>
    <row r="130" spans="1:3" x14ac:dyDescent="0.25">
      <c r="A130">
        <v>300009</v>
      </c>
      <c r="B130" t="s">
        <v>409</v>
      </c>
      <c r="C130">
        <v>5</v>
      </c>
    </row>
    <row r="131" spans="1:3" x14ac:dyDescent="0.25">
      <c r="A131">
        <v>200004</v>
      </c>
      <c r="B131" t="s">
        <v>407</v>
      </c>
      <c r="C131">
        <v>5</v>
      </c>
    </row>
    <row r="132" spans="1:3" x14ac:dyDescent="0.25">
      <c r="A132">
        <v>600107</v>
      </c>
      <c r="B132" t="s">
        <v>450</v>
      </c>
      <c r="C132">
        <v>1</v>
      </c>
    </row>
    <row r="133" spans="1:3" x14ac:dyDescent="0.25">
      <c r="A133">
        <v>600091</v>
      </c>
      <c r="B133" t="s">
        <v>444</v>
      </c>
      <c r="C133">
        <v>4</v>
      </c>
    </row>
    <row r="134" spans="1:3" x14ac:dyDescent="0.25">
      <c r="A134">
        <v>600752</v>
      </c>
      <c r="B134" t="s">
        <v>499</v>
      </c>
      <c r="C134">
        <v>3</v>
      </c>
    </row>
    <row r="135" spans="1:3" x14ac:dyDescent="0.25">
      <c r="A135">
        <v>604996</v>
      </c>
      <c r="B135" t="s">
        <v>546</v>
      </c>
      <c r="C135">
        <v>5</v>
      </c>
    </row>
    <row r="136" spans="1:3" x14ac:dyDescent="0.25">
      <c r="A136">
        <v>400416</v>
      </c>
      <c r="B136" t="s">
        <v>422</v>
      </c>
      <c r="C136">
        <v>4</v>
      </c>
    </row>
    <row r="137" spans="1:3" x14ac:dyDescent="0.25">
      <c r="A137">
        <v>600704</v>
      </c>
      <c r="B137" t="s">
        <v>493</v>
      </c>
      <c r="C137">
        <v>5</v>
      </c>
    </row>
    <row r="138" spans="1:3" x14ac:dyDescent="0.25">
      <c r="A138">
        <v>600220</v>
      </c>
      <c r="B138" t="s">
        <v>472</v>
      </c>
      <c r="C138">
        <v>2</v>
      </c>
    </row>
    <row r="139" spans="1:3" x14ac:dyDescent="0.25">
      <c r="A139">
        <v>600915</v>
      </c>
      <c r="B139" t="s">
        <v>521</v>
      </c>
      <c r="C139">
        <v>5</v>
      </c>
    </row>
    <row r="140" spans="1:3" x14ac:dyDescent="0.25">
      <c r="A140">
        <v>600914</v>
      </c>
      <c r="B140" t="s">
        <v>520</v>
      </c>
      <c r="C140">
        <v>5</v>
      </c>
    </row>
    <row r="141" spans="1:3" x14ac:dyDescent="0.25">
      <c r="A141">
        <v>600912</v>
      </c>
      <c r="B141" t="s">
        <v>519</v>
      </c>
      <c r="C141">
        <v>5</v>
      </c>
    </row>
    <row r="142" spans="1:3" x14ac:dyDescent="0.25">
      <c r="A142">
        <v>500693</v>
      </c>
      <c r="B142" t="s">
        <v>432</v>
      </c>
      <c r="C142">
        <v>5</v>
      </c>
    </row>
    <row r="143" spans="1:3" x14ac:dyDescent="0.25">
      <c r="A143">
        <v>400012</v>
      </c>
      <c r="B143" t="s">
        <v>413</v>
      </c>
      <c r="C143">
        <v>5</v>
      </c>
    </row>
    <row r="144" spans="1:3" x14ac:dyDescent="0.25">
      <c r="A144">
        <v>600917</v>
      </c>
      <c r="B144" t="s">
        <v>522</v>
      </c>
      <c r="C144">
        <v>5</v>
      </c>
    </row>
    <row r="145" spans="1:3" x14ac:dyDescent="0.25">
      <c r="A145">
        <v>600126</v>
      </c>
      <c r="B145" t="s">
        <v>458</v>
      </c>
      <c r="C145">
        <v>4</v>
      </c>
    </row>
    <row r="146" spans="1:3" x14ac:dyDescent="0.25">
      <c r="A146">
        <v>603915</v>
      </c>
      <c r="B146" t="s">
        <v>544</v>
      </c>
      <c r="C146">
        <v>2</v>
      </c>
    </row>
    <row r="147" spans="1:3" x14ac:dyDescent="0.25">
      <c r="A147">
        <v>400020</v>
      </c>
      <c r="B147" t="s">
        <v>416</v>
      </c>
      <c r="C147">
        <v>6</v>
      </c>
    </row>
    <row r="148" spans="1:3" x14ac:dyDescent="0.25">
      <c r="A148">
        <v>600226</v>
      </c>
      <c r="B148" t="s">
        <v>474</v>
      </c>
      <c r="C148">
        <v>2</v>
      </c>
    </row>
    <row r="149" spans="1:3" x14ac:dyDescent="0.25">
      <c r="A149">
        <v>600845</v>
      </c>
      <c r="B149" t="s">
        <v>502</v>
      </c>
      <c r="C149">
        <v>5</v>
      </c>
    </row>
    <row r="150" spans="1:3" x14ac:dyDescent="0.25">
      <c r="A150">
        <v>300009</v>
      </c>
      <c r="B150" t="s">
        <v>409</v>
      </c>
      <c r="C150">
        <v>5</v>
      </c>
    </row>
    <row r="151" spans="1:3" x14ac:dyDescent="0.25">
      <c r="A151">
        <v>600700</v>
      </c>
      <c r="B151" t="s">
        <v>492</v>
      </c>
      <c r="C151">
        <v>5</v>
      </c>
    </row>
    <row r="152" spans="1:3" x14ac:dyDescent="0.25">
      <c r="A152">
        <v>600854</v>
      </c>
      <c r="B152" t="s">
        <v>503</v>
      </c>
      <c r="C152">
        <v>5</v>
      </c>
    </row>
    <row r="153" spans="1:3" x14ac:dyDescent="0.25">
      <c r="A153">
        <v>400010</v>
      </c>
      <c r="B153" t="s">
        <v>411</v>
      </c>
      <c r="C153">
        <v>5</v>
      </c>
    </row>
    <row r="154" spans="1:3" x14ac:dyDescent="0.25">
      <c r="A154">
        <v>400319</v>
      </c>
      <c r="B154" t="s">
        <v>419</v>
      </c>
      <c r="C154">
        <v>6</v>
      </c>
    </row>
    <row r="155" spans="1:3" x14ac:dyDescent="0.25">
      <c r="A155">
        <v>500639</v>
      </c>
      <c r="B155" t="s">
        <v>429</v>
      </c>
      <c r="C155">
        <v>5</v>
      </c>
    </row>
    <row r="156" spans="1:3" x14ac:dyDescent="0.25">
      <c r="A156">
        <v>600886</v>
      </c>
      <c r="B156" t="s">
        <v>515</v>
      </c>
      <c r="C156">
        <v>5</v>
      </c>
    </row>
    <row r="157" spans="1:3" x14ac:dyDescent="0.25">
      <c r="A157">
        <v>100039</v>
      </c>
      <c r="B157" t="s">
        <v>406</v>
      </c>
      <c r="C157">
        <v>6</v>
      </c>
    </row>
    <row r="158" spans="1:3" x14ac:dyDescent="0.25">
      <c r="A158">
        <v>400488</v>
      </c>
      <c r="B158" t="s">
        <v>424</v>
      </c>
      <c r="C158">
        <v>5</v>
      </c>
    </row>
    <row r="159" spans="1:3" x14ac:dyDescent="0.25">
      <c r="A159">
        <v>603561</v>
      </c>
      <c r="B159" t="s">
        <v>543</v>
      </c>
      <c r="C159">
        <v>6</v>
      </c>
    </row>
    <row r="160" spans="1:3" x14ac:dyDescent="0.25">
      <c r="A160">
        <v>400416</v>
      </c>
      <c r="B160" t="s">
        <v>422</v>
      </c>
      <c r="C160">
        <v>4</v>
      </c>
    </row>
    <row r="161" spans="1:3" x14ac:dyDescent="0.25">
      <c r="A161">
        <v>501905</v>
      </c>
      <c r="B161" t="s">
        <v>437</v>
      </c>
      <c r="C161">
        <v>4</v>
      </c>
    </row>
    <row r="162" spans="1:3" x14ac:dyDescent="0.25">
      <c r="A162">
        <v>400416</v>
      </c>
      <c r="B162" t="s">
        <v>422</v>
      </c>
      <c r="C162">
        <v>4</v>
      </c>
    </row>
    <row r="163" spans="1:3" x14ac:dyDescent="0.25">
      <c r="A163">
        <v>600089</v>
      </c>
      <c r="B163" t="s">
        <v>442</v>
      </c>
      <c r="C163">
        <v>4</v>
      </c>
    </row>
    <row r="164" spans="1:3" x14ac:dyDescent="0.25">
      <c r="A164">
        <v>600219</v>
      </c>
      <c r="B164" t="s">
        <v>471</v>
      </c>
      <c r="C164">
        <v>2</v>
      </c>
    </row>
    <row r="165" spans="1:3" x14ac:dyDescent="0.25">
      <c r="A165">
        <v>600751</v>
      </c>
      <c r="B165" t="s">
        <v>498</v>
      </c>
      <c r="C165">
        <v>5</v>
      </c>
    </row>
    <row r="166" spans="1:3" x14ac:dyDescent="0.25">
      <c r="A166">
        <v>600143</v>
      </c>
      <c r="B166" t="s">
        <v>464</v>
      </c>
      <c r="C166">
        <v>1</v>
      </c>
    </row>
    <row r="167" spans="1:3" x14ac:dyDescent="0.25">
      <c r="A167">
        <v>600382</v>
      </c>
      <c r="B167" t="s">
        <v>475</v>
      </c>
      <c r="C167">
        <v>6</v>
      </c>
    </row>
    <row r="168" spans="1:3" x14ac:dyDescent="0.25">
      <c r="A168">
        <v>601081</v>
      </c>
      <c r="B168" t="s">
        <v>529</v>
      </c>
      <c r="C168">
        <v>6</v>
      </c>
    </row>
    <row r="169" spans="1:3" x14ac:dyDescent="0.25">
      <c r="A169">
        <v>400360</v>
      </c>
      <c r="B169" t="s">
        <v>420</v>
      </c>
      <c r="C169">
        <v>6</v>
      </c>
    </row>
    <row r="170" spans="1:3" x14ac:dyDescent="0.25">
      <c r="A170">
        <v>400207</v>
      </c>
      <c r="B170" t="s">
        <v>418</v>
      </c>
      <c r="C170">
        <v>6</v>
      </c>
    </row>
    <row r="171" spans="1:3" x14ac:dyDescent="0.25">
      <c r="A171">
        <v>300009</v>
      </c>
      <c r="B171" t="s">
        <v>409</v>
      </c>
      <c r="C171">
        <v>5</v>
      </c>
    </row>
    <row r="172" spans="1:3" x14ac:dyDescent="0.25">
      <c r="A172">
        <v>400206</v>
      </c>
      <c r="B172" t="s">
        <v>417</v>
      </c>
      <c r="C172">
        <v>6</v>
      </c>
    </row>
    <row r="173" spans="1:3" x14ac:dyDescent="0.25">
      <c r="A173">
        <v>601278</v>
      </c>
      <c r="B173" t="s">
        <v>532</v>
      </c>
      <c r="C173">
        <v>6</v>
      </c>
    </row>
    <row r="174" spans="1:3" x14ac:dyDescent="0.25">
      <c r="A174">
        <v>601012</v>
      </c>
      <c r="B174" t="s">
        <v>525</v>
      </c>
      <c r="C174">
        <v>6</v>
      </c>
    </row>
    <row r="175" spans="1:3" x14ac:dyDescent="0.25">
      <c r="A175">
        <v>601007</v>
      </c>
      <c r="B175" t="s">
        <v>524</v>
      </c>
      <c r="C17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Nominal Country Codes</vt:lpstr>
      <vt:lpstr>Nominal Gear</vt:lpstr>
      <vt:lpstr>Nominal SpeciesCode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Shelumiel</dc:creator>
  <cp:lastModifiedBy>Ortiz, Shelumiel</cp:lastModifiedBy>
  <dcterms:created xsi:type="dcterms:W3CDTF">2025-10-01T16:28:28Z</dcterms:created>
  <dcterms:modified xsi:type="dcterms:W3CDTF">2025-10-02T17:28:52Z</dcterms:modified>
</cp:coreProperties>
</file>